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gcapcombr-my.sharepoint.com/personal/jimerson_carlos_gcap_com_br/Documents/Pessoal/Des/Projetos/vdf/sag-rm/Referencia/"/>
    </mc:Choice>
  </mc:AlternateContent>
  <xr:revisionPtr revIDLastSave="7" documentId="13_ncr:1_{9FA893F7-1826-4A89-AA09-B62331BC1910}" xr6:coauthVersionLast="47" xr6:coauthVersionMax="47" xr10:uidLastSave="{CA56D335-C197-4866-B18A-D4F3F8DE5800}"/>
  <bookViews>
    <workbookView xWindow="-20610" yWindow="-120" windowWidth="20730" windowHeight="11160" activeTab="3" xr2:uid="{00000000-000D-0000-FFFF-FFFF00000000}"/>
  </bookViews>
  <sheets>
    <sheet name="DADOSNF" sheetId="6" r:id="rId1"/>
    <sheet name="INPUT" sheetId="9" r:id="rId2"/>
    <sheet name="REBOQ" sheetId="10" r:id="rId3"/>
    <sheet name="MDFE" sheetId="16" r:id="rId4"/>
    <sheet name="MDFEANT" sheetId="17" r:id="rId5"/>
    <sheet name="CONFIG" sheetId="15" r:id="rId6"/>
  </sheets>
  <calcPr calcId="191029" calcMode="manual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" i="6" l="1"/>
  <c r="H13" i="6"/>
  <c r="O2" i="6"/>
  <c r="O10" i="6"/>
  <c r="O15" i="6"/>
  <c r="I8" i="6"/>
  <c r="E3" i="6"/>
  <c r="I2" i="6"/>
  <c r="I4" i="6"/>
  <c r="C2" i="6"/>
  <c r="C8" i="6"/>
  <c r="C7" i="6"/>
  <c r="C6" i="6"/>
  <c r="C5" i="6"/>
  <c r="D8" i="6"/>
  <c r="D7" i="6"/>
  <c r="D6" i="6"/>
  <c r="D5" i="6"/>
  <c r="E5" i="6"/>
  <c r="E7" i="6"/>
  <c r="E14" i="6"/>
  <c r="E12" i="6"/>
  <c r="E11" i="6"/>
  <c r="D11" i="6"/>
  <c r="D12" i="6"/>
  <c r="C14" i="6"/>
  <c r="C11" i="6"/>
  <c r="C12" i="6"/>
  <c r="H14" i="6"/>
  <c r="I10" i="6"/>
  <c r="I6" i="6"/>
  <c r="D1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58EB17-C263-4785-B1B5-23BA99CCCEDE}" keepAlive="1" name="Consulta - Consulta1" description="Conexão com a consulta 'Consulta1' na pasta de trabalho." type="5" refreshedVersion="7" background="1" saveData="1">
    <dbPr connection="Provider=Microsoft.Mashup.OleDb.1;Data Source=$Workbook$;Location=Consulta1;Extended Properties=&quot;&quot;" command="SELECT * FROM [Consulta1]"/>
  </connection>
  <connection id="2" xr16:uid="{C51B6E1C-A989-49CF-AA3A-0F39F0CD46C5}" keepAlive="1" name="Consulta - CTE'S -  ALGODAO" description="Conexão com a consulta 'CTE'S -  ALGODAO' na pasta de trabalho." type="5" refreshedVersion="7" background="1" saveData="1">
    <dbPr connection="Provider=Microsoft.Mashup.OleDb.1;Data Source=$Workbook$;Location=&quot;CTE'S -  ALGODAO&quot;;Extended Properties=&quot;&quot;" command="SELECT * FROM [CTE'S -  ALGODAO]"/>
  </connection>
</connections>
</file>

<file path=xl/sharedStrings.xml><?xml version="1.0" encoding="utf-8"?>
<sst xmlns="http://schemas.openxmlformats.org/spreadsheetml/2006/main" count="261" uniqueCount="203">
  <si>
    <t>PLACA</t>
  </si>
  <si>
    <t>COD.DEST</t>
  </si>
  <si>
    <t>NOME.DEST</t>
  </si>
  <si>
    <t>CNPJ.D</t>
  </si>
  <si>
    <t>CM.DEST</t>
  </si>
  <si>
    <t>CID.DEST.</t>
  </si>
  <si>
    <t>C.PROD</t>
  </si>
  <si>
    <t>PRODUTO</t>
  </si>
  <si>
    <t>ST</t>
  </si>
  <si>
    <t>CM.ORI</t>
  </si>
  <si>
    <t>CNPJ.R/O</t>
  </si>
  <si>
    <t>REMET/ORIGEM</t>
  </si>
  <si>
    <t>PESONF</t>
  </si>
  <si>
    <t>CFOP</t>
  </si>
  <si>
    <t>DESTINATARIO</t>
  </si>
  <si>
    <t>NOME</t>
  </si>
  <si>
    <t>CODIGO</t>
  </si>
  <si>
    <t>COD.ORI</t>
  </si>
  <si>
    <t>REM./ORIGEM</t>
  </si>
  <si>
    <t>CNPJ/CPF</t>
  </si>
  <si>
    <t>-</t>
  </si>
  <si>
    <t>CHAVE</t>
  </si>
  <si>
    <t>MOTORISTA</t>
  </si>
  <si>
    <t>TRANSP.</t>
  </si>
  <si>
    <t>FAZENDA</t>
  </si>
  <si>
    <t>RNTRC</t>
  </si>
  <si>
    <t>CAVALO</t>
  </si>
  <si>
    <t>CARRETAS</t>
  </si>
  <si>
    <t>CONJUNTO</t>
  </si>
  <si>
    <t>SEQ</t>
  </si>
  <si>
    <t>COD.REB</t>
  </si>
  <si>
    <t>PLACA.REB</t>
  </si>
  <si>
    <t>COD.VEIC</t>
  </si>
  <si>
    <t>COD.TRANSP</t>
  </si>
  <si>
    <t>TRANSP</t>
  </si>
  <si>
    <t>4002</t>
  </si>
  <si>
    <t>CPF-CNPJ.TRANSP</t>
  </si>
  <si>
    <t>CID. ORIGEM</t>
  </si>
  <si>
    <t>CID. DESTINO</t>
  </si>
  <si>
    <t>CID.ORI.</t>
  </si>
  <si>
    <t>COD.MOTO</t>
  </si>
  <si>
    <t>CPF.MOTORISTA</t>
  </si>
  <si>
    <t>DATA EMISSAO</t>
  </si>
  <si>
    <t>VALOR TOTAL(NF)</t>
  </si>
  <si>
    <t>CTE</t>
  </si>
  <si>
    <t>VALOR CTE:</t>
  </si>
  <si>
    <t>PESO BRUTO(KG)</t>
  </si>
  <si>
    <t>PESO LIQ.(KG)</t>
  </si>
  <si>
    <t>PESO.BRUTO</t>
  </si>
  <si>
    <t>SERIE</t>
  </si>
  <si>
    <t>CTERMT</t>
  </si>
  <si>
    <t>DEST_RAZAO_SOCIAL</t>
  </si>
  <si>
    <t>DEST_CPF_CNPJ</t>
  </si>
  <si>
    <t>DEST_INSC_EST_RG</t>
  </si>
  <si>
    <t>DEST_END</t>
  </si>
  <si>
    <t>DEST_NUMERO</t>
  </si>
  <si>
    <t>DEST_CPL</t>
  </si>
  <si>
    <t>DEST_BAIRRO</t>
  </si>
  <si>
    <t>DEST_CEP</t>
  </si>
  <si>
    <t xml:space="preserve">1       </t>
  </si>
  <si>
    <t xml:space="preserve">21      </t>
  </si>
  <si>
    <t xml:space="preserve">78850000  </t>
  </si>
  <si>
    <t>DADOS NF</t>
  </si>
  <si>
    <t>SELECTS</t>
  </si>
  <si>
    <t>FUNÇÃO</t>
  </si>
  <si>
    <t>INSERT CTE</t>
  </si>
  <si>
    <t>SELECT NF</t>
  </si>
  <si>
    <t>PRIMAVERA DO LESTE</t>
  </si>
  <si>
    <t>MT</t>
  </si>
  <si>
    <t>NF</t>
  </si>
  <si>
    <t>UF.DEST.</t>
  </si>
  <si>
    <t>UF.ORI</t>
  </si>
  <si>
    <t>VALOR_NF</t>
  </si>
  <si>
    <t>DIA.EMISS</t>
  </si>
  <si>
    <t>MES.EMISS</t>
  </si>
  <si>
    <t>ANO.EMISS</t>
  </si>
  <si>
    <t>DATA.SIST</t>
  </si>
  <si>
    <t>VLR.UNIT</t>
  </si>
  <si>
    <t>TPEND.DEST</t>
  </si>
  <si>
    <t>TPEND.REM</t>
  </si>
  <si>
    <t>TRANSP.ENDCOD</t>
  </si>
  <si>
    <t>36000.00</t>
  </si>
  <si>
    <t>INSERT MDFE</t>
  </si>
  <si>
    <t>STATUS</t>
  </si>
  <si>
    <t>SELECT MDFE E DADOS DO CTE GERADO</t>
  </si>
  <si>
    <t>SELECT * FROM IMANIDF
INNER JOIN IMANINFE ON IMANIDF.COD_MANIFESTO = IMANINFE.COD_MANIFESTO AND IMANINFE.SERIE_MANIFESTO = IMANIDF.SERIE
INNER JOIN IMANICTE ON IMANICTE.COD_MANIFESTO = IMANIDF.COD_MANIFESTO AND IMANICTE.SERIE_MANIFESTO = IMANIDF.SERIE
WHERE IMANINFE.CHAVE_NF = @CHAVENOTA</t>
  </si>
  <si>
    <t xml:space="preserve">MDFE  </t>
  </si>
  <si>
    <t xml:space="preserve">        </t>
  </si>
  <si>
    <t xml:space="preserve">0000    </t>
  </si>
  <si>
    <t xml:space="preserve">1101    </t>
  </si>
  <si>
    <t>1</t>
  </si>
  <si>
    <t>2</t>
  </si>
  <si>
    <t xml:space="preserve">4002   </t>
  </si>
  <si>
    <t xml:space="preserve">TN      </t>
  </si>
  <si>
    <t xml:space="preserve"> </t>
  </si>
  <si>
    <t xml:space="preserve">  </t>
  </si>
  <si>
    <t xml:space="preserve">      </t>
  </si>
  <si>
    <t xml:space="preserve">4002    </t>
  </si>
  <si>
    <t>0.00</t>
  </si>
  <si>
    <t>51210709490719000203550010000438011744948696</t>
  </si>
  <si>
    <t>043801</t>
  </si>
  <si>
    <t>01934</t>
  </si>
  <si>
    <t>AGROPECUARIA NOVA GERACAO</t>
  </si>
  <si>
    <t>20923293000196</t>
  </si>
  <si>
    <t>NPD1331</t>
  </si>
  <si>
    <t>35308656134</t>
  </si>
  <si>
    <t>000011</t>
  </si>
  <si>
    <t>ALGODAO EM CAROCO</t>
  </si>
  <si>
    <t>051</t>
  </si>
  <si>
    <t>5525</t>
  </si>
  <si>
    <t>SANTO ANTONIO DO LESTE</t>
  </si>
  <si>
    <t>00059</t>
  </si>
  <si>
    <t>09490719000203</t>
  </si>
  <si>
    <t>AGROPECUARIA TRES ESTRELAS LTDA FILIAL</t>
  </si>
  <si>
    <t>5901</t>
  </si>
  <si>
    <t>05078</t>
  </si>
  <si>
    <t>ERLEAN DE FREITAS LACERDA</t>
  </si>
  <si>
    <t>FAZENDA SONHO DOURADO</t>
  </si>
  <si>
    <t>01972129</t>
  </si>
  <si>
    <t>00036</t>
  </si>
  <si>
    <t>ERLAN DE FREITAS LACERDA</t>
  </si>
  <si>
    <t>2021-07-26</t>
  </si>
  <si>
    <t>032099</t>
  </si>
  <si>
    <t xml:space="preserve">AGROPECUARIA NOVA GERAÇAO                                                       </t>
  </si>
  <si>
    <t xml:space="preserve">20923293000196      </t>
  </si>
  <si>
    <t xml:space="preserve">136139272           </t>
  </si>
  <si>
    <t xml:space="preserve">RUA A QUADRA 003 LOTE 001                         </t>
  </si>
  <si>
    <t xml:space="preserve">3000  </t>
  </si>
  <si>
    <t xml:space="preserve">ALGODOEIRA NOVA GERACAO                           </t>
  </si>
  <si>
    <t xml:space="preserve">DISTRITO INDUSTRIAL II                            </t>
  </si>
  <si>
    <t>00017899</t>
  </si>
  <si>
    <t xml:space="preserve">05078   </t>
  </si>
  <si>
    <t>51210727384677000127580020000178881000178997</t>
  </si>
  <si>
    <t xml:space="preserve">00036   </t>
  </si>
  <si>
    <t xml:space="preserve">5525   </t>
  </si>
  <si>
    <t xml:space="preserve">000011                   </t>
  </si>
  <si>
    <t>00009684</t>
  </si>
  <si>
    <t>00018035</t>
  </si>
  <si>
    <t xml:space="preserve">032099  </t>
  </si>
  <si>
    <t>12000.00</t>
  </si>
  <si>
    <t>SELECT MDFE ANTERIORES</t>
  </si>
  <si>
    <t>GERADO</t>
  </si>
  <si>
    <t>NAO CANCELADO</t>
  </si>
  <si>
    <t xml:space="preserve">ERLAN DE FREITAS LACERDA                                                        </t>
  </si>
  <si>
    <t>COD MANIFESTO</t>
  </si>
  <si>
    <t>DATA</t>
  </si>
  <si>
    <t>GERADO?</t>
  </si>
  <si>
    <t>ENCERRADO?</t>
  </si>
  <si>
    <t>CANCELADO?</t>
  </si>
  <si>
    <t>SELECT TOP (1)
IMANIDF.SERIE AS [SERIE],
IMANIDF.COD_MANIFESTO AS [COD MANIFESTO],
CONVERT(VARCHAR,IMANIDF.DATA_EMISSAO,103) AS [DATA],
CASE 
 WHEN IMANIDF.MDF_GERADO  = '1'
 THEN 'GERADO'
 WHEN IMANIDF.MDF_GERADO = ''
    THEN 'NAO GERADO'
END as [GERADO?],
CASE 
 WHEN IMANIDF.MDF_ENCERRADO  = '1'
 THEN 'ENCERRADO'
 WHEN IMANIDF.MDF_ENCERRADO = ''
    THEN 'NAO ENCERRADO'
END as [ENCERRADO?],
CASE 
 WHEN IMANIDF.MDF_CANCELADO  = '1'
 THEN 'CANCELADO'
 WHEN IMANIDF.MDF_CANCELADO = ''
    THEN 'NAO CANCELADO'
 END AS [CANCELADO?],
IMANIDF.MOTORISTA AS [MOTORISTA],
SPESSOAS.RAZAO_SOCIAL AS [NOME],
SVEICULOS.PLACA AS [PLACA]
FROM IMANIDF
INNER JOIN SVEICULOS ON SVEICULOS.COD_VEICULO = IMANIDF.VEICULO
INNER JOIN SPESSOAS ON SPESSOAS.PES_CODIGO = IMANIDF.MOTORISTA
WHERE
SVEICULOS.PLACA = @PLACA
AND IMANIDF.MDF_GERADO = '1'
ORDER BY [COD MANIFESTO] DESC</t>
  </si>
  <si>
    <t>NAO ENCERRADO</t>
  </si>
  <si>
    <t>MDFE - @NF</t>
  </si>
  <si>
    <t xml:space="preserve">SELECT
RTRIM(CMOVNF.NOTA) AS [NF], 
RTRIM(SPDEST.PES_CODIGO) AS [COD.DEST],
RTRIM(CMOVNF.NOME_CLIENTE) AS [NOME.DEST], 
RTRIM(CMOVNF.CNPJ) AS [CNPJ.D],
RTRIM(CMOVNF.CIDADE_COD) AS [CM.DEST],
RTRIM(CMOVNF.CIDADE) AS [CID.DEST.],
RTRIM(CMOVNF.ESTADO) AS [UF.DEST.],
RTRIM(CMOVNF.PLACA) AS [PLACA], 
RTRIM(CMOVNF.MOTORISTA_CPF) AS [CPF.MOTORISTA],
RTRIM(CITENF.CODIGO) AS [C.PROD],
RTRIM(CITENF.DESCRICAO) AS [PRODUTO],
RTRIM(CITENF.SIT_TRIBUTARIA) AS [ST],
RTRIM(SPEND2.COD_CIDADE) AS [CM.ORI],
RTRIM(SCIDADES.DESCRICAO) AS [CID.ORI.],
RTRIM(SCIDADES.COD_ESTADOS) AS [UF.ORI],
RTRIM(SP2.PES_CODIGO) AS [COD.ORI],
RTRIM(SP2.CNPJ_CPF) AS [CNPJ.R/O],
RTRIM(SP2.RAZAO_SOCIAL) AS [REMET/ORIGEM],
RTRIM(CAST((CITENF.QTDE) AS NUMERIC(14,2))) AS [PESONF],
RTRIM(CITENF.CFOP) AS [CFOP],
RTRIM(SPM.PES_CODIGO) AS [COD.MOTO],
RTRIM(CMOVNF.MOTORISTA) AS [MOTORISTA],
CASE WHEN PSGA.DBO.CMOVNF.DADOS_ADICIO LIKE '%ARAPU%'  THEN 'FAZENDA ARAPUA' WHEN PSGA.DBO.CMOVNF.DADOS_ADICIO LIKE '%PEABIRU%' THEN 'FAZENDA PEABIRU'
WHEN PSGA.DBO.CMOVNF.DADOS_ADICIO LIKE '%PALMITAL%' THEN 'FAZENDA PALMITAL' WHEN PSGA.DBO.CMOVNF.DADOS_ADICIO LIKE '%DOURADO%' THEN 'FAZENDA SONHO DOURADO'
WHEN PSGA.DBO.CMOVNF.DADOS_ADICIO LIKE '%APARECIDA%' THEN 'FAZENDA N. S. APARECIDA' WHEN PSGA.DBO.CMOVNF.DADOS_ADICIO LIKE '%SENHORA%' THEN 'FAZENDA N. S. APARECIDA'
WHEN PSGA.DBO.CMOVNF.DADOS_ADICIO LIKE '%UMUARAMA I%' THEN 'FAZENDA UMUARAMA I' WHEN PSGA.DBO.CMOVNF.DADOS_ADICIO LIKE '%UMUARAMA II%' THEN 'FAZENDA UMUARAMA II'
WHEN PSGA.DBO.CMOVNF.DADOS_ADICIO LIKE '%CRISTAL%' THEN 'FAZENDA CRISTAL' WHEN PSGA.DBO.CMOVNF.DADOS_ADICIO LIKE '%CACIQUE%' THEN 'FAZENDA CACIQUE'
WHEN PSGA.DBO.CMOVNF.DADOS_ADICIO LIKE '%BOA%' THEN 'FAZENDA BOA ESPERANCA' WHEN PSGA.DBO.CMOVNF.DADOS_ADICIO LIKE '%ARAPONGAS%' THEN 'FAZENDA ARAPONGAS'
WHEN PSGA.DBO.CMOVNF.DADOS_ADICIO LIKE '%HUMAITA%' THEN 'FAZENDA HUMAITA' WHEN PSGA.DBO.CMOVNF.DADOS_ADICIO LIKE '%MARFAL%' THEN 'FAZENDA MARFAL' ELSE 'VERIFICAR'
END AS [FAZENDA], 
RTRIM(SPTRANSP.RNTRC) AS [RNTRC],
RTRIM(VEIC.COD_VEICULO) AS [COD.VEIC],
RTRIM(SPTRANSP.PES_CODIGO) AS [COD.TRANSP],
RTRIM(SPTRANSP.RAZAO_SOCIAL) AS [TRANSP],
RTRIM(SPTRANSP.CNPJ_CPF) AS [CPF-CNPJ.TRANSP],
RTRIM(CAST((CMOVNF.PESO_BRUTO) AS NUMERIC(14,2))) AS [PESO.BRUTO],
RTRIM(CAST((CITENF.VALOR_TOTAL) AS MONEY)) AS [VALOR_NF],
DATEPART(DAY,(CMOVNF.DT_EMISSAO)) AS [DIA.EMISS],
DATEPART(MONTH,(CMOVNF.DT_EMISSAO)) AS [MES.EMISS],
DATEPART(YEAR,(CMOVNF.DT_EMISSAO)) AS [ANO.EMISS],
CAST(CMOVNF.DT_EMISSAO AS DATE) AS [DATA.SIST],
RTRIM(IFRNFTERCTE.ICONFRET_COD) AS [CTE],
RTRIM(IFRNFTERCTE.SERIE_COD) AS [SERIE],
CAST(CITENF.VLR_UN_SEM_DESC AS NUMERIC(14,2)) AS [VLR.UNIT],
SPESSEND.PSE_TPEND AS [TPEND.DEST],
SPEND2.PSE_TPEND AS [TPEND.REM],
TRANSPEND.PSE_TPEND AS [TRANSP.ENDCOD],
SPDEST.RAZAO_SOCIAL AS [DEST_RAZAO_SOCIAL],
SPDEST.CNPJ_CPF AS [DEST_CPF_CNPJ],
SPDEST.INST_EST_RG AS [DEST_INSC_EST_RG],
SPDESTEND.ENDERECO AS [DEST_END],
SPDESTEND.NUMERO AS [DEST_NUMERO],
SPDESTEND.COMPLEMENTO AS [DEST_CPL],
SPDESTEND.BAIRRO AS [DEST_BAIRRO],
SPDESTEND.CEP AS [DEST_CEP]
FROM CMOVNF 
INNER JOIN CITENF ON CMOVNF.NOTA = CITENF.NOTA AND CMOVNF.SERIE_COD = CITENF.SERIE_COD 
INNER JOIN CSERIES  ON CMOVNF.SERIE_COD = CSERIES.SERIE
INNER JOIN SCCUSTO ON CSERIES.CENTRO_CUSTO = SCCUSTO.CODIGO
INNER JOIN (SELECT * FROM PSGACTE.DBO.SPESSOAS)SPDEST ON CMOVNF.CNPJ = SPDEST.CNPJ_CPF 
INNER JOIN SPESSEND ON CMOVNF.CCLIENTE = SPESSEND.PES_CODIGO
INNER JOIN (SELECT * FROM PSGACTE.DBO.SPESSEND)SPDESTEND ON SPDEST.PES_CODIGO = SPDESTEND.PES_CODIGO
INNER JOIN SPESSOAS ON CMOVNF.CCLIENTE = SPESSOAS.PES_CODIGO AND SPESSOAS.CNPJ_CPF = SPDEST.CNPJ_CPF
INNER JOIN (SELECT * FROM PSGACTE.DBO.SPESSOAS)SPM ON SPM.CNPJ_CPF = CMOVNF.MOTORISTA_CPF
INNER JOIN (SELECT * FROM PSGACTE.DBO.SPESSOAS)SP2 ON SP2.INST_EST_RG = SCCUSTO.INSC_ESTADUAL AND SP2.UF_CRC = SCCUSTO.UF_CAIXA_POSTAL
INNER JOIN (SELECT * FROM SPESSEND)SPEND2 ON CSERIES.COD_PROD = SPEND2.PES_CODIGO 
INNER JOIN (SELECT * FROM PSGACTE.DBO.SVEICULOS)VEIC ON CMOVNF.PLACA = VEIC.PLACA
INNER JOIN (SELECT * FROM SCIDADES)SCIDADES ON SCIDADES.CODIGO = SPEND2.COD_CIDADE
INNER JOIN (SELECT * FROM PSGACTE.DBO.SPESSOAS)SPTRANSP ON  VEIC.PES_COD_PROP = SPTRANSP.PES_CODIGO 
INNER JOIN (SELECT * FROM PSGACTE.DBO.SPESSEND)TRANSPEND ON SPTRANSP.PES_CODIGO = TRANSPEND.PES_CODIGO 
LEFT JOIN (SELECT * FROM PSGACTE.DBO.IFRNFTER WHERE IFRNFTER.SERIE_COD = 'CTERMT')IFRNFTERCTE ON IFRNFTERCTE.CHAVE_NF = CMOVNF.CHAVE_NFE
LEFT JOIN (SELECT * FROM PSGACTE.DBO.ICMOVCTE WHERE ICMOVCTE.COD_STATUS = '100')ICMOVCTERM ON IFRNFTERCTE.ICONFRET_COD = ICMOVCTERM.ICONFRET_COD
WHERE CMOVNF.SPESSTRANSP_COD = '04749' AND CMOVNF.CHAVE_NFE = @CHAVENOTA AND CMOVNF.[STATUS] = '3' AND CMOVNF.NFE_GERADA = '1' AND CMOVNF.CANCELADA &lt;&gt; '1'
SELECT
RTRIM(CMOVNF.NOTA) AS [NF], 
RTRIM(SPDEST.PES_CODIGO) AS [COD.DEST],
RTRIM(CMOVNF.NOME_CLIENTE) AS [NOME.DEST], 
RTRIM(CMOVNF.CNPJ) AS [CNPJ.D],
RTRIM(CMOVNF.CIDADE_COD) AS [CM.DEST],
RTRIM(CMOVNF.CIDADE) AS [CID.DEST.],
RTRIM(CMOVNF.ESTADO) AS [UF.DEST.],
RTRIM(CMOVNF.PLACA) AS [PLACA], 
RTRIM(CMOVNF.MOTORISTA_CPF) AS [CPF.MOTORISTA],
RTRIM(CITENF.CODIGO) AS [C.PROD],
RTRIM(CITENF.DESCRICAO) AS [PRODUTO],
RTRIM(CITENF.SIT_TRIBUTARIA) AS [ST],
RTRIM(SPEND2.COD_CIDADE) AS [CM.ORI],
RTRIM(SCIDADES.DESCRICAO) AS [CID.ORI.],
RTRIM(SCIDADES.COD_ESTADOS) AS [UF.ORI],
RTRIM(SP2.PES_CODIGO) AS [COD.ORI],
RTRIM(SP2.CNPJ_CPF) AS [CNPJ.R/O],
RTRIM(SP2.RAZAO_SOCIAL) AS [REMET/ORIGEM],
RTRIM(CAST((CITENF.QTDE) AS NUMERIC(14,2))) AS [PESONF],
RTRIM(CITENF.CFOP) AS [CFOP],
RTRIM(SPM.PES_CODIGO) AS [COD.MOTO],
RTRIM(CMOVNF.MOTORISTA) AS [MOTORISTA],
CASE WHEN PSGA.DBO.CMOVNF.DADOS_ADICIO LIKE '%ARAPU%'  THEN 'FAZENDA ARAPUA' WHEN PSGA.DBO.CMOVNF.DADOS_ADICIO LIKE '%PEABIRU%' THEN 'FAZENDA PEABIRU'
WHEN PSGA.DBO.CMOVNF.DADOS_ADICIO LIKE '%PALMITAL%' THEN 'FAZENDA PALMITAL' WHEN PSGA.DBO.CMOVNF.DADOS_ADICIO LIKE '%DOURADO%' THEN 'FAZENDA SONHO DOURADO'
WHEN PSGA.DBO.CMOVNF.DADOS_ADICIO LIKE '%APARECIDA%' THEN 'FAZENDA N. S. APARECIDA' WHEN PSGA.DBO.CMOVNF.DADOS_ADICIO LIKE '%SENHORA%' THEN 'FAZENDA N. S. APARECIDA'
WHEN PSGA.DBO.CMOVNF.DADOS_ADICIO LIKE '%UMUARAMA I%' THEN 'FAZENDA UMUARAMA I' WHEN PSGA.DBO.CMOVNF.DADOS_ADICIO LIKE '%UMUARAMA II%' THEN 'FAZENDA UMUARAMA II'
WHEN PSGA.DBO.CMOVNF.DADOS_ADICIO LIKE '%CRISTAL%' THEN 'FAZENDA CRISTAL' WHEN PSGA.DBO.CMOVNF.DADOS_ADICIO LIKE '%CACIQUE%' THEN 'FAZENDA CACIQUE'
WHEN PSGA.DBO.CMOVNF.DADOS_ADICIO LIKE '%BOA%' THEN 'FAZENDA BOA ESPERANCA' WHEN PSGA.DBO.CMOVNF.DADOS_ADICIO LIKE '%ARAPONGAS%' THEN 'FAZENDA ARAPONGAS'
WHEN PSGA.DBO.CMOVNF.DADOS_ADICIO LIKE '%HUMAITA%' THEN 'FAZENDA HUMAITA' WHEN PSGA.DBO.CMOVNF.DADOS_ADICIO LIKE '%MARFAL%' THEN 'FAZENDA MARFAL' ELSE 'VERIFICAR'
END AS [FAZENDA], 
RTRIM(SPTRANSP.RNTRC) AS [RNTRC],
RTRIM(VEIC.COD_VEICULO) AS [COD.VEIC],
RTRIM(SPTRANSP.PES_CODIGO) AS [COD.TRANSP],
RTRIM(SPTRANSP.RAZAO_SOCIAL) AS [TRANSP],
RTRIM(SPTRANSP.CNPJ_CPF) AS [CPF-CNPJ.TRANSP],
RTRIM(CAST((CMOVNF.PESO_BRUTO) AS NUMERIC(14,2))) AS [PESO.BRUTO],
RTRIM(CAST((CITENF.VALOR_TOTAL) AS MONEY)) AS [VALOR_NF],
DATEPART(DAY,(CMOVNF.DT_EMISSAO)) AS [DIA.EMISS],
DATEPART(MONTH,(CMOVNF.DT_EMISSAO)) AS [MES.EMISS],
DATEPART(YEAR,(CMOVNF.DT_EMISSAO)) AS [ANO.EMISS],
CAST(CMOVNF.DT_EMISSAO AS DATE) AS [DATA.SIST],
RTRIM(IFRNFTERCTE.ICONFRET_COD) AS [CTE],
RTRIM(IFRNFTERCTE.SERIE_COD) AS [SERIE],
CAST(CITENF.VLR_UN_SEM_DESC AS NUMERIC(14,2)) AS [VLR.UNIT],
SPESSEND.PSE_TPEND AS [TPEND.DEST],
SPEND2.PSE_TPEND AS [TPEND.REM],
TRANSPEND.PSE_TPEND AS [TRANSP.ENDCOD],
SPDEST.RAZAO_SOCIAL AS [DEST_RAZAO_SOCIAL],
SPDEST.CNPJ_CPF AS [DEST_CPF_CNPJ],
SPDEST.INST_EST_RG AS [DEST_INSC_EST_RG],
SPDESTEND.ENDERECO AS [DEST_END],
SPDESTEND.NUMERO AS [DEST_NUMERO],
SPDESTEND.COMPLEMENTO AS [DEST_CPL],
SPDESTEND.BAIRRO AS [DEST_BAIRRO],
SPDESTEND.CEP AS [DEST_CEP]
FROM CMOVNF 
INNER JOIN CITENF ON CMOVNF.NOTA = CITENF.NOTA AND CMOVNF.SERIE_COD = CITENF.SERIE_COD 
INNER JOIN CSERIES  ON CMOVNF.SERIE_COD = CSERIES.SERIE
INNER JOIN SCCUSTO ON CSERIES.CENTRO_CUSTO = SCCUSTO.CODIGO
INNER JOIN (SELECT * FROM PSGACTE.DBO.SPESSOAS)SPDEST ON CMOVNF.CNPJ = SPDEST.CNPJ_CPF 
INNER JOIN SPESSEND ON CMOVNF.CCLIENTE = SPESSEND.PES_CODIGO
INNER JOIN (SELECT * FROM PSGACTE.DBO.SPESSEND)SPDESTEND ON SPDEST.PES_CODIGO = SPDESTEND.PES_CODIGO
INNER JOIN SPESSOAS ON CMOVNF.CCLIENTE = SPESSOAS.PES_CODIGO AND SPESSOAS.CNPJ_CPF = SPDEST.CNPJ_CPF
INNER JOIN (SELECT * FROM PSGACTE.DBO.SPESSOAS)SPM ON SPM.CNPJ_CPF = CMOVNF.MOTORISTA_CPF
INNER JOIN (SELECT * FROM PSGACTE.DBO.SPESSOAS)SP2 ON SP2.INST_EST_RG = SCCUSTO.INSC_ESTADUAL AND SP2.UF_CRC = SCCUSTO.UF_CAIXA_POSTAL
INNER JOIN (SELECT * FROM SPESSEND)SPEND2 ON CSERIES.COD_PROD = SPEND2.PES_CODIGO 
INNER JOIN (SELECT * FROM PSGACTE.DBO.SVEICULOS)VEIC ON CMOVNF.PLACA = VEIC.PLACA
INNER JOIN (SELECT * FROM SCIDADES)SCIDADES ON SCIDADES.CODIGO = SPEND2.COD_CIDADE
INNER JOIN (SELECT * FROM PSGACTE.DBO.SPESSOAS)SPTRANSP ON  VEIC.PES_COD_PROP = SPTRANSP.PES_CODIGO 
INNER JOIN (SELECT * FROM PSGACTE.DBO.SPESSEND)TRANSPEND ON SPTRANSP.PES_CODIGO = TRANSPEND.PES_CODIGO 
LEFT JOIN (SELECT * FROM PSGACTE.DBO.IFRNFTER WHERE IFRNFTER.SERIE_COD = 'CTERMT')IFRNFTERCTE ON IFRNFTERCTE.CHAVE_NF = CMOVNF.CHAVE_NFE
LEFT JOIN (SELECT * FROM PSGACTE.DBO.ICMOVCTE WHERE ICMOVCTE.COD_STATUS = '100')ICMOVCTERM ON IFRNFTERCTE.ICONFRET_COD = ICMOVCTERM.ICONFRET_COD
WHERE CMOVNF.SPESSTRANSP_COD = '04749' AND CMOVNF.CHAVE_NFE = @CHAVENOTA AND CMOVNF.[STATUS] = '3' AND CMOVNF.NFE_GERADA = '1' AND CMOVNF.CANCELADA &lt;&gt; '1'
</t>
  </si>
  <si>
    <t>RECNUM</t>
  </si>
  <si>
    <t>COD_MANIFESTO</t>
  </si>
  <si>
    <t>NR_MANIFESTO</t>
  </si>
  <si>
    <t>COD_VEICULO</t>
  </si>
  <si>
    <t>DATA_EMISSAO</t>
  </si>
  <si>
    <t>HORA_EMISSAO</t>
  </si>
  <si>
    <t>COD_CCUSTO</t>
  </si>
  <si>
    <t>TP_EMIT</t>
  </si>
  <si>
    <t>TRANSPORTADOR</t>
  </si>
  <si>
    <t>CHMDF</t>
  </si>
  <si>
    <t>VEICULO</t>
  </si>
  <si>
    <t>MODAL</t>
  </si>
  <si>
    <t>UFINI</t>
  </si>
  <si>
    <t>UFFIM</t>
  </si>
  <si>
    <t>COD_MUNI_CARREGA</t>
  </si>
  <si>
    <t>COD_MUNI_DESCARREGA</t>
  </si>
  <si>
    <t>VALOR_CARGA</t>
  </si>
  <si>
    <t>COD_TPUNID</t>
  </si>
  <si>
    <t>PESO_BRUTO</t>
  </si>
  <si>
    <t>MDF_GERADO</t>
  </si>
  <si>
    <t>MDF_ENCERRADO</t>
  </si>
  <si>
    <t>SITUACAO_EFD</t>
  </si>
  <si>
    <t>RESP_SEGURO</t>
  </si>
  <si>
    <t>COD_SEGURADORA</t>
  </si>
  <si>
    <t>TARA</t>
  </si>
  <si>
    <t>REBOQUE1</t>
  </si>
  <si>
    <t>REBOQUE2</t>
  </si>
  <si>
    <t>REBOQUE3</t>
  </si>
  <si>
    <t>TARA_REBOQUE1</t>
  </si>
  <si>
    <t>TARA_REBOQUE2</t>
  </si>
  <si>
    <t>TARA_REBOQUE3</t>
  </si>
  <si>
    <t>MDF_CANCELADO</t>
  </si>
  <si>
    <t>PRODUTO_PREDOMINANTE</t>
  </si>
  <si>
    <t>COD_IMANINFE</t>
  </si>
  <si>
    <t>PESSOA_NF</t>
  </si>
  <si>
    <t>SERIE_NF</t>
  </si>
  <si>
    <t>NOTA</t>
  </si>
  <si>
    <t>SERIE_MANIFESTO</t>
  </si>
  <si>
    <t>TP_MOV</t>
  </si>
  <si>
    <t>CHAVE_NF</t>
  </si>
  <si>
    <t>MUNI_DESCARREGA</t>
  </si>
  <si>
    <t>COD_IMANICTE</t>
  </si>
  <si>
    <t>ICONFRET_COD</t>
  </si>
  <si>
    <t>SERIE_COD</t>
  </si>
  <si>
    <t>SUBCON</t>
  </si>
  <si>
    <t>00017989</t>
  </si>
  <si>
    <t>27/07/2021</t>
  </si>
  <si>
    <t xml:space="preserve">
INSERT INTO PSGACTE.DBO.ICONFRET (SERIE_COD,ICONFRET_COD,DATA_EMISSAO,CFOP,SIT_TRIB,SPESSTRANSP_COD,TIPO_FRETE,SPESDEST_COD,VLR_TOTAL,
BASE_OUTROS,DATA_RECEBIMENTO,SPESMOT_COD,PESO,OES_CODIGO,UN,[STATUS],COD_CCUSTO,TPENDERECO,SITUACAO_EFD,NR_PRECLA,VLR_UNITARIO,SCIDADES_COD,CST_PIS,CST_COFINS,TIPO_UNIDADE,
TIPO_MEDIDA,TIPO_END_DEST,SPESREM_COD,TIPO_END_REM, REM_EMI, DEST_RAZAO_SOCIAL,DEST_CPF_CNPJ,DEST_INSC_EST_RG,DEST_END,DEST_NUMERO,DEST_CPL,DEST_BAIRRO,
DEST_CEP, MODAL,TOMADOR,CPRODUTOS,HORA_EMISSAO,TIPO_CADASTRO,DESC_PRODUTO,IND_NAT_FRT,UF_ORIGEM,UF_DESTINO, TIPO_CTE,
VLR_TOTAL_CTRC,MUNI_ORIGEM,MUNI_DESTINO,SPES_EXPEDIDOR,SPES_RECEBEDOR,TPEND_EXPEDIDOR,TPEND_RECEBEDOR,LOTACAO,VEICULO,VEICULODOIS,
VEICULOTRES,VEICULOQUATRO)
SELECT
@SERIE AS SERIE_COD ,
REPLICATE('0', 6 - LEN((SELECT MAX(CSERIES.ULT_NUM)+1 FROM PSGACTE.DBO.CSERIES WHERE CSERIES.SERIE = @SERIE))) + RTrim((SELECT MAX(CSERIES.ULT_NUM)+1 FROM PSGACTE.DBO.CSERIES WHERE CSERIES.SERIE = @SERIE)) AS ICONFRET_COD , --GERAR ESTILO PRE-CLA (PEDIR PRO ADRIANO ONDE PEGAR O SEQUENCIADOR)
GETDATE()  AS DATA_EMISSAO ,
'5356' AS CFOP ,
[ST] AS SIT_TRIB ,
[COD.TRANSP] AS SPESSTRANSP_COD ,
'1' AS TIPO_FRETE , ----========== FRETE DE TERCEIRO
[COD.DEST] AS SPESDEST_COD ,
[VALOR_NF] AS VLR_TOTAL ,
CAST(REPLACE(@VLRCTE,',','.') AS NUMERIC(14,2)) AS BASE_OUTROS ,
GETDATE()  AS DATA_RECEBIMENTO ,
[COD.MOTO] AS SPESMOT_COD ,
CAST((CAST([PESONF] AS MONEY)/1000) AS NUMERIC) AS PESO ,
'001' AS OES_CODIGO ,
'TN' AS UN ,
'1' AS STATUS ,
'1101' AS COD_CCUSTO, 
 [TRANSP.ENDCOD] AS TPENDERECO,
 '00' AS SITUACAO_EFD,
(SELECT MAX(SHLANG.SEQ_NUM) FROM PSGACTE.DBO.SHLANG WHERE SHLANG.TP_OBJ = 'FPRECLA' AND SHLANG.OBJ = 'FPRECLA.CLA_CODIGO')+(ROW_NUMBER() OVER (ORDER BY [DATA.SIST])) AS NR_PRECLA ,
CAST([VLR.UNIT]*1000 AS NUMERIC(14,2)) AS VLR_UNITARIO,
[CM.DEST] AS SCIDADES_COD,
'01' AS CST_PIS,
'01' AS CST_COFINS,
'02' AS TIPO_UNIDADE ,
'2' AS TIPO_MEDIDA ,
[TPEND.DEST] AS TIPO_END_DEST ,
[COD.ORI] AS SPESREM_COD,
[TPEND.REM] AS TIPO_END_REM ,
'1' AS REM_EMI,
[DEST_RAZAO_SOCIAL],
[DEST_CPF_CNPJ],
[DEST_INSC_EST_RG],
[DEST_END],
[DEST_NUMERO],
[DEST_CPL],
[DEST_BAIRRO],
[DEST_CEP],
'01' AS MODAL ,
'1' AS TOMADOR ,
[C.PROD] AS CPRODUTOS,
'0000' AS HORA_EMISSAO,
'1' AS TIPO_CADASTRO ,
[PRODUTO] AS DESC_PRODUTO,
'0' AS IND_NAT_FRT,
[UF.ORI] AS UF_ORIGEM ,
[UF.DEST.] AS UF_DESTINO ,
'0' AS TIPO_CTE,
CAST(REPLACE(@VLRCTE,',','.') AS NUMERIC(14,2)) AS VLR_TOTAL_CTRC , -----FAZER PEGAR DA PLANILHA.
[CM.ORI] AS MUNI_ORIGEM ,
[CM.DEST] AS MUNI_DESTINO ,
[COD.ORI] AS SPES_EXPEDIDOR ,
[COD.DEST] AS SPES_RECEBEDOR ,
[TPEND.REM] AS TPEND_EXPEDIDOR ,
[TPEND.DEST] AS TPEND_RECEBEDOR ,
'1' AS LOTACAO , 
[COD.VEIC] AS VEICULO,
@REBOQ1 AS VEICULODOIS , --====FAZER PEGAR DA PLANILHA
@REBOQ2 AS VEICULOTRES , --=====FAZER PEGAR DA PLANILHA
@REBOQ3 AS VEICULOQUATRO --===== FAZER PEGAR DA PLANILHA
FROM (
SELECT
RTRIM(CMOVNF.NOTA) AS [NF], 
RTRIM(SPDEST.PES_CODIGO) AS [COD.DEST],
RTRIM(CMOVNF.NOME_CLIENTE) AS [NOME.DEST], 
RTRIM(CMOVNF.CNPJ) AS [CNPJ.D],
RTRIM(CMOVNF.CIDADE_COD) AS [CM.DEST],
RTRIM(CMOVNF.CIDADE) AS [CID.DEST.],
RTRIM(CMOVNF.ESTADO) AS [UF.DEST.],
RTRIM(CMOVNF.PLACA) AS [PLACA], 
RTRIM(CMOVNF.MOTORISTA_CPF) AS [CPF.MOTORISTA],
RTRIM(CITENF.CODIGO) AS [C.PROD],
RTRIM(CITENF.DESCRICAO) AS [PRODUTO],
RTRIM(CITENF.SIT_TRIBUTARIA) AS [ST],
RTRIM(SPEND2.COD_CIDADE) AS [CM.ORI],
RTRIM(SCIDADES.DESCRICAO) AS [CID.ORI.],
RTRIM(SCIDADES.COD_ESTADOS) AS [UF.ORI],
RTRIM(SP2.PES_CODIGO) AS [COD.ORI],
RTRIM(SP2.CNPJ_CPF) AS [CNPJ.R/O],
RTRIM(SP2.RAZAO_SOCIAL) AS [REMET/ORIGEM],
RTRIM(CAST((CITENF.QTDE) AS NUMERIC(14,2))) AS [PESONF],
RTRIM(CITENF.CFOP) AS [CFOP],
RTRIM(SPM.PES_CODIGO) AS [COD.MOTO],
RTRIM(CMOVNF.MOTORISTA) AS [MOTORISTA],
CASE WHEN PSGA.DBO.CMOVNF.DADOS_ADICIO LIKE '%ARAPU%'  THEN 'FAZENDA ARAPUA' WHEN PSGA.DBO.CMOVNF.DADOS_ADICIO LIKE '%PEABIRU%' THEN 'FAZENDA PEABIRU'
WHEN PSGA.DBO.CMOVNF.DADOS_ADICIO LIKE '%PALMITAL%' THEN 'FAZENDA PALMITAL' WHEN PSGA.DBO.CMOVNF.DADOS_ADICIO LIKE '%DOURADO%' THEN 'FAZENDA SONHO DOURADO'
WHEN PSGA.DBO.CMOVNF.DADOS_ADICIO LIKE '%APARECIDA%' THEN 'FAZENDA N. S. APARECIDA' WHEN PSGA.DBO.CMOVNF.DADOS_ADICIO LIKE '%SENHORA%' THEN 'FAZENDA N. S. APARECIDA'
WHEN PSGA.DBO.CMOVNF.DADOS_ADICIO LIKE '%UMUARAMA I%' THEN 'FAZENDA UMUARAMA I' WHEN PSGA.DBO.CMOVNF.DADOS_ADICIO LIKE '%UMUARAMA II%' THEN 'FAZENDA UMUARAMA II'
WHEN PSGA.DBO.CMOVNF.DADOS_ADICIO LIKE '%CRISTAL%' THEN 'FAZENDA CRISTAL' WHEN PSGA.DBO.CMOVNF.DADOS_ADICIO LIKE '%CACIQUE%' THEN 'FAZENDA CACIQUE'
WHEN PSGA.DBO.CMOVNF.DADOS_ADICIO LIKE '%BOA%' THEN 'FAZENDA BOA ESPERANCA' WHEN PSGA.DBO.CMOVNF.DADOS_ADICIO LIKE '%ARAPONGAS%' THEN 'FAZENDA ARAPONGAS'
WHEN PSGA.DBO.CMOVNF.DADOS_ADICIO LIKE '%HUMAITA%' THEN 'FAZENDA HUMAITA' WHEN PSGA.DBO.CMOVNF.DADOS_ADICIO LIKE '%MARFAL%' THEN 'FAZENDA MARFAL' ELSE 'VERIFICAR'
END AS [FAZENDA], 
RTRIM(SPTRANSP.RNTRC) AS [RNTRC],
RTRIM(VEIC.COD_VEICULO) AS [COD.VEIC],
RTRIM(SPTRANSP.PES_CODIGO) AS [COD.TRANSP],
RTRIM(SPTRANSP.RAZAO_SOCIAL) AS [TRANSP],
RTRIM(SPTRANSP.CNPJ_CPF) AS [CPF-CNPJ.TRANSP],
RTRIM(CAST((CMOVNF.PESO_BRUTO) AS NUMERIC(14,2))) AS [PESO.BRUTO],
RTRIM(CAST((CITENF.VALOR_TOTAL) AS MONEY)) AS [VALOR_NF],
DATEPART(DAY,(CMOVNF.DT_EMISSAO)) AS [DIA.EMISS],
DATEPART(MONTH,(CMOVNF.DT_EMISSAO)) AS [MES.EMISS],
DATEPART(YEAR,(CMOVNF.DT_EMISSAO)) AS [ANO.EMISS],
CAST(CMOVNF.DT_EMISSAO AS DATE) AS [DATA.SIST],
RTRIM(IFRNFTERCTE.ICONFRET_COD) AS [CTE],
RTRIM(IFRNFTERCTE.SERIE_COD) AS [SERIE],
CAST(CITENF.VLR_UN_SEM_DESC AS NUMERIC(14,2)) AS [VLR.UNIT],
SPESSEND.PSE_TPEND AS [TPEND.DEST],
SPEND2.PSE_TPEND AS [TPEND.REM],
TRANSPEND.PSE_TPEND AS [TRANSP.ENDCOD],
SPDEST.RAZAO_SOCIAL AS [DEST_RAZAO_SOCIAL],
SPDEST.CNPJ_CPF AS [DEST_CPF_CNPJ],
SPDEST.INST_EST_RG AS [DEST_INSC_EST_RG],
SPDESTEND.ENDERECO AS [DEST_END],
SPDESTEND.NUMERO AS [DEST_NUMERO],
SPDESTEND.COMPLEMENTO AS [DEST_CPL],
SPDESTEND.BAIRRO AS [DEST_BAIRRO],
SPDESTEND.CEP AS [DEST_CEP]
FROM CMOVNF 
INNER JOIN CITENF ON CMOVNF.NOTA = CITENF.NOTA AND CMOVNF.SERIE_COD = CITENF.SERIE_COD 
INNER JOIN CSERIES  ON CMOVNF.SERIE_COD = CSERIES.SERIE
INNER JOIN SCCUSTO ON CSERIES.CENTRO_CUSTO = SCCUSTO.CODIGO
INNER JOIN (SELECT * FROM PSGACTE.DBO.SPESSOAS)SPDEST ON CMOVNF.CNPJ = SPDEST.CNPJ_CPF 
INNER JOIN SPESSEND ON CMOVNF.CCLIENTE = SPESSEND.PES_CODIGO
INNER JOIN (SELECT * FROM PSGACTE.DBO.SPESSEND)SPDESTEND ON SPDEST.PES_CODIGO = SPDESTEND.PES_CODIGO
INNER JOIN SPESSOAS ON CMOVNF.CCLIENTE = SPESSOAS.PES_CODIGO AND SPESSOAS.CNPJ_CPF = SPDEST.CNPJ_CPF
INNER JOIN (SELECT * FROM PSGACTE.DBO.SPESSOAS)SPM ON SPM.CNPJ_CPF = CMOVNF.MOTORISTA_CPF
INNER JOIN (SELECT * FROM PSGACTE.DBO.SPESSOAS)SP2 ON SP2.INST_EST_RG = SCCUSTO.INSC_ESTADUAL AND SP2.UF_CRC = SCCUSTO.UF_CAIXA_POSTAL
INNER JOIN (SELECT * FROM SPESSEND)SPEND2 ON CSERIES.COD_PROD = SPEND2.PES_CODIGO 
INNER JOIN (SELECT * FROM PSGACTE.DBO.SVEICULOS)VEIC ON CMOVNF.PLACA = VEIC.PLACA
INNER JOIN (SELECT * FROM SCIDADES)SCIDADES ON SCIDADES.CODIGO = SPEND2.COD_CIDADE
INNER JOIN (SELECT * FROM PSGACTE.DBO.SPESSOAS)SPTRANSP ON  VEIC.PES_COD_PROP = SPTRANSP.PES_CODIGO 
INNER JOIN (SELECT * FROM PSGACTE.DBO.SPESSEND)TRANSPEND ON SPTRANSP.PES_CODIGO = TRANSPEND.PES_CODIGO 
LEFT JOIN (SELECT * FROM PSGACTE.DBO.IFRNFTER WHERE IFRNFTER.SERIE_COD = 'CTERMT')IFRNFTERCTE ON IFRNFTERCTE.CHAVE_NF = CMOVNF.CHAVE_NFE
LEFT JOIN (SELECT * FROM PSGACTE.DBO.ICMOVCTE WHERE ICMOVCTE.COD_STATUS = '100')ICMOVCTERM ON IFRNFTERCTE.ICONFRET_COD = ICMOVCTERM.ICONFRET_COD
WHERE CMOVNF.SPESSTRANSP_COD = '04749' AND CMOVNF.CHAVE_NFE = @CHAVENOTA AND CMOVNF.[STATUS] = '3' AND CMOVNF.NFE_GERADA = '1' AND CMOVNF.CANCELADA &lt;&gt; '1'
)NFDATA
INSERT INTO PSGACTE.DBO.IFRNFTER (ICONFRET_COD, SPESSTRANSP_COD, SERIE_COD, CHAVE_NF)
VALUES (REPLICATE('0', 6 - LEN((SELECT MAX(CSERIES.ULT_NUM)+1 FROM PSGACTE.DBO.CSERIES WHERE CSERIES.SERIE = @SERIE))) + RTrim((SELECT MAX(CSERIES.ULT_NUM)+1 FROM PSGACTE.DBO.CSERIES WHERE CSERIES.SERIE = @SERIE)), @TRANSP, @SERIE, @CHAVENOTA)
UPDATE PSGACTE.DBO.CSERIES
SET CSERIES.ULT_NUM = (SELECT MAX(CSERIES.ULT_NUM)+1 FROM PSGACTE.DBO.CSERIES WHERE CSERIES.SERIE = @SERIE)
FROM PSGACTE.DBO.CSERIES
WHERE CSERIES.SERIE = @SERIE
UPDATE PSGACTE.DBO.SHLANG
SET SHLANG.SEQ_NUM = (SELECT MAX(SHLANG.SEQ_NUM)+1 FROM PSGACTE.DBO.SHLANG WHERE SHLANG.TP_OBJ = 'FPRECLA' AND SHLANG.OBJ = 'FPRECLA.CLA_CODIGO')
FROM PSGACTE.DBO.SHLANG
WHERE SHLANG.TP_OBJ = 'FPRECLA' AND SHLANG.OBJ = 'FPRECLA.CLA_CODIGO'
</t>
  </si>
  <si>
    <t xml:space="preserve">INSERT INTO PSGACTE.DBO.IMANIDF (COD_MANIFESTO,SERIE,NR_MANIFESTO,DATA_EMISSAO,HORA_EMISSAO,COD_CCUSTO,TP_EMIT,TRANSPORTADOR,VEICULO,
[STATUS],MODAL,UFINI,UFFIM,COD_MUNI_CARREGA,MOTORISTA,COD_MUNI_DESCARREGA,VALOR_CARGA,COD_TPUNID,PESO_BRUTO,MDF_GERADO,TARA,REBOQUE1,
REBOQUE2,REBOQUE3,TARA_REBOQUE1,TARA_REBOQUE2,TARA_REBOQUE3,PRODUTO_PREDOMINANTE)
SELECT 
REPLICATE('0', 8 - LEN((SELECT MAX(SHLANG.SEQ_NUM)+1 FROM PSGACTE.DBO.SHLANG WHERE SHLANG.TP_OBJ = 'IMANIDF' AND SHLANG.OBJ = 'IMANIDF.COD_MANIFESTO'))) + RTrim((SELECT MAX(SHLANG.SEQ_NUM)+1 FROM PSGACTE.DBO.SHLANG WHERE SHLANG.TP_OBJ = 'IMANIDF' AND SHLANG.OBJ = 'IMANIDF.COD_MANIFESTO')) AS [COD_MANIFESTO],
'MDFE' AS [SERIE],
(SELECT MAX(CSERIES.ULT_NUM)+1 FROM PSGACTE.DBO.CSERIES WHERE CSERIES.SERIE = 'MDFE') AS [NR_MANIFESTO],
GETDATE() AS [DATA_EMISSAO],
'0000' AS [HORA_EMISSAO],
CTE.CCU AS [COD_CCUSTO],
'1' AS [TP_EMIT],
CTE.COD_TRANSP AS [TRANSPORTADOR],
CTE.CAVALO AS [VEICULO],
'1' AS [STATUS],
'1' AS [MODAL],
CTE.UF_ORI AS [UFINI],
CTE.UF_DEST AS [UFFIM],
CTE.MUN_ORI AS [COD_MUNI_CARREGA],
CTE.COD_MOT AS [MOTORISTA],
CTE.MUN_DEST AS [COD_MUNI_DESCARREGA],
CTE.VLR_PROD AS [VALOR_CARGA],
'TN' AS [COD_TPUNID],
CTE.PESO_TOT AS [PESO_BRUTO],
'' AS [MDF_GERADO],
CTE.C_TARA AS [TARA],
CTE.REBOQ1 AS [REBOQUE1],
CTE.REBOQ2 AS [REBOQUE2],
CTE.REBOQ3 AS [REBOQUE3],
CTE.R1_TARA AS [TARA_REBOQUE1],
CTE.R2_TARA AS [TARA_REBOQUE2],
CTE.R3_TARA AS [TARA_REBOQUE3],
CTE.COD_PROD AS [PRODUTO_PREDOMINANTE]
FROM(
SELECT 
ICONFRET.ICONFRET_COD AS [CTE],
ICONFRET.SERIE_COD AS [SERIE],
ICONFRET.COD_CCUSTO AS [CCU],
ICONFRET.SPESSTRANSP_COD AS [COD_TRANSP],
ICONFRET.SPESMOT_COD AS [COD_MOT],
ICONFRET.CPRODUTOS AS [COD_PROD],
ICONFRET.VLR_TOTAL AS [VLR_PROD],
CAST(ICONFRET.PESO*1000 AS NUMERIC(14,2)) AS [PESO_TOT],
ICONFRET.VEICULO AS [CAVALO],
SVEICULOS.TARA AS [C_TARA],
ICONFRET.VEICULODOIS AS [REBOQ1],
ISNULL(SREBOQ1.TARA,'0') AS [R1_TARA],
ICONFRET.VEICULOTRES AS [REBOQ2],
ISNULL(SREBOQ2.TARA,'0') AS [R2_TARA],
ICONFRET.VEICULOQUATRO AS [REBOQ3],
ISNULL(SREBOQ3.TARA,'0') AS [R3_TARA],
ICONFRET.MUNI_ORIGEM AS [MUN_ORI],
ICONFRET.UF_ORIGEM AS [UF_ORI],
ICONFRET.MUNI_DESTINO AS [MUN_DEST],
ICONFRET.UF_DESTINO AS [UF_DEST]
FROM ICONFRET
INNER JOIN IFRNFTER ON ICONFRET.ICONFRET_COD = IFRNFTER.ICONFRET_COD
INNER JOIN SVEICULOS ON SVEICULOS.COD_VEICULO = ICONFRET.VEICULO
LEFT JOIN (SELECT * FROM SVEICULOS)SREBOQ1 ON SREBOQ1.COD_VEICULO = ICONFRET.VEICULODOIS
LEFT JOIN (SELECT * FROM SVEICULOS)SREBOQ2 ON SREBOQ2.COD_VEICULO = ICONFRET.VEICULOTRES
LEFT JOIN (SELECT * FROM SVEICULOS)SREBOQ3 ON SREBOQ3.COD_VEICULO = ICONFRET.VEICULOQUATRO
WHERE IFRNFTER.CHAVE_NF = @CHAVENOTA)CTE
INSERT INTO PSGACTE.DBO.IMANINFE (COD_IMANINFE,COD_MANIFESTO,SERIE_MANIFESTO,TP_MOV,CHAVE_NF)
VALUES(
REPLICATE('0', 8 - LEN((SELECT MAX(SHLANG.SEQ_NUM)+1 FROM PSGACTE.DBO.SHLANG WHERE SHLANG.TP_OBJ = 'IMANINFE' AND SHLANG.OBJ = 'IMANINFE.COD_IMANINFE'))) + RTrim((SELECT MAX(SHLANG.SEQ_NUM)+1 FROM PSGACTE.DBO.SHLANG WHERE SHLANG.TP_OBJ = 'IMANINFE' AND SHLANG.OBJ = 'IMANINFE.COD_IMANINFE')),
REPLICATE('0', 8 - LEN((SELECT MAX(SHLANG.SEQ_NUM)+1 FROM PSGACTE.DBO.SHLANG WHERE SHLANG.TP_OBJ = 'IMANIDF' AND SHLANG.OBJ = 'IMANIDF.COD_MANIFESTO'))) + RTrim((SELECT MAX(SHLANG.SEQ_NUM)+1 FROM PSGACTE.DBO.SHLANG WHERE SHLANG.TP_OBJ = 'IMANIDF' AND SHLANG.OBJ = 'IMANIDF.COD_MANIFESTO')),
'MDFE',
'2',
@CHAVENOTA)
INSERT INTO PSGACTE.DBO.IMANCONT (COD_MANIFESTO,SERIE_MANIFESTO,COD_PESSOA)
VALUES(
REPLICATE('0', 8 - LEN((SELECT MAX(SHLANG.SEQ_NUM)+1 FROM PSGACTE.DBO.SHLANG WHERE SHLANG.TP_OBJ = 'IMANIDF' AND SHLANG.OBJ = 'IMANIDF.COD_MANIFESTO'))) + RTrim((SELECT MAX(SHLANG.SEQ_NUM)+1 FROM PSGACTE.DBO.SHLANG WHERE SHLANG.TP_OBJ = 'IMANIDF' AND SHLANG.OBJ = 'IMANIDF.COD_MANIFESTO')),
'MDFE',
'04726')
UPDATE PSGACTE.DBO.SHLANG
SET SHLANG.SEQ_NUM = (SELECT MAX(SHLANG.SEQ_NUM)+1 FROM PSGACTE.DBO.SHLANG WHERE SHLANG.TP_OBJ = 'IMANIDF' AND SHLANG.OBJ = 'IMANIDF.COD_MANIFESTO')
FROM PSGACTE.DBO.SHLANG
WHERE SHLANG.TP_OBJ = 'IMANIDF'
AND SHLANG.OBJ = 'IMANIDF.COD_MANIFESTO'
UPDATE PSGACTE.DBO.CSERIES
SET CSERIES.ULT_NUM = (SELECT MAX(CSERIES.ULT_NUM)+1 FROM PSGACTE.DBO.CSERIES WHERE CSERIES.SERIE = 'MDFE') 
WHERE CSERIES.SERIE = 'MDFE'
UPDATE PSGACTE.DBO.SHLANG
SET SHLANG.SEQ_NUM = (SELECT MAX(SHLANG.SEQ_NUM)+1 FROM PSGACTE.DBO.SHLANG WHERE SHLANG.TP_OBJ = 'IMANINFE' AND SHLANG.OBJ = 'IMANINFE.COD_IMANINFE')
FROM PSGACTE.DBO.SHLANG
WHERE SHLANG.TP_OBJ = 'IMANINFE'
AND SHLANG.OBJ = 'IMANINFE.COD_IMANINFE'
INSERT INTO PSGACTE.DBO.IMANICTE (COD_IMANICTE,ICONFRET_COD,SERIE_COD,TRANSPORTADOR,COD_MANIFESTO,SERIE_MANIFESTO,MUNI_DESCARREGA)
SELECT 
REPLICATE('0', 8 - LEN((SELECT MAX(SHLANG.SEQ_NUM)+1 FROM PSGACTE.DBO.SHLANG WHERE SHLANG.TP_OBJ = 'IMANICTE' AND SHLANG.OBJ = 'IMANICTE.COD_IMANICTE'))) + RTrim((SELECT MAX(SHLANG.SEQ_NUM)+1 FROM PSGACTE.DBO.SHLANG WHERE SHLANG.TP_OBJ = 'IMANICTE' AND SHLANG.OBJ = 'IMANICTE.COD_IMANICTE')) AS [COD_IMANICTE],
IFRNFTER.ICONFRET_COD AS [ICONFRET_COD],
IFRNFTER.SERIE_COD AS [SERIE_COD],
IFRNFTER.SPESSTRANSP_COD AS [TRANSPORTADOR],
IMANIDF.COD_MANIFESTO AS [COD_MANIFESTO],
IMANIDF.SERIE AS [SERIE_MANIFESTO],
IMANIDF.COD_MUNI_DESCARREGA AS [MUNI_DESCARREGA]
FROM IMANIDF
INNER JOIN IMANINFE ON IMANINFE.COD_MANIFESTO = IMANIDF.COD_MANIFESTO
INNER JOIN IFRNFTER ON IMANINFE.CHAVE_NF = IFRNFTER.CHAVE_NF
WHERE IMANINFE.CHAVE_NF = @CHAVENOTA
UPDATE PSGACTE.DBO.SHLANG
SET SHLANG.SEQ_NUM = (SELECT MAX(SHLANG.SEQ_NUM)+1 FROM PSGACTE.DBO.SHLANG WHERE SHLANG.TP_OBJ = 'IMANICTE' AND SHLANG.OBJ = 'IMANICTE.COD_IMANICTE')
FROM PSGACTE.DBO.SHLANG
WHERE SHLANG.TP_OBJ = 'IMANICTE'
AND SHLANG.OBJ = 'IMANICTE.COD_IMANICTE'
</t>
  </si>
  <si>
    <t>MDFE ANTERIOR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</si>
</sst>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Bahnschrift Light"/>
      <family val="2"/>
    </font>
    <font>
      <sz val="12"/>
      <color theme="1"/>
      <name val="Bahnschrift Light"/>
      <family val="2"/>
    </font>
    <font>
      <b/>
      <sz val="11"/>
      <color theme="1"/>
      <name val="Bahnschrift Light"/>
      <family val="2"/>
    </font>
    <font>
      <sz val="11"/>
      <color theme="1"/>
      <name val="Bahnschrift Light"/>
      <family val="2"/>
    </font>
    <font>
      <b/>
      <sz val="11"/>
      <color theme="4" tint="-0.499984740745262"/>
      <name val="Bahnschrift Light"/>
      <family val="2"/>
    </font>
    <font>
      <b/>
      <sz val="12"/>
      <color theme="1"/>
      <name val="Bahnschrift Light"/>
      <family val="2"/>
    </font>
    <font>
      <sz val="14"/>
      <color theme="1"/>
      <name val="Bahnschrift Light"/>
      <family val="2"/>
    </font>
    <font>
      <sz val="10"/>
      <color theme="1"/>
      <name val="Bahnschrift Light"/>
      <family val="2"/>
    </font>
    <font>
      <b/>
      <u/>
      <sz val="11"/>
      <color theme="1"/>
      <name val="Bahnschrift Light"/>
      <family val="2"/>
    </font>
    <font>
      <sz val="11"/>
      <color theme="1"/>
      <name val="Calibri"/>
      <family val="2"/>
      <scheme val="minor"/>
    </font>
    <font>
      <b/>
      <i/>
      <sz val="14"/>
      <color theme="1"/>
      <name val="Bahnschrift Light"/>
      <family val="2"/>
    </font>
    <font>
      <sz val="20"/>
      <color theme="1"/>
      <name val="Bahnschrift Light"/>
      <family val="2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Bahnschrift Light"/>
      <family val="2"/>
    </font>
    <font>
      <b/>
      <sz val="11"/>
      <color rgb="FFFF0000"/>
      <name val="Calibri"/>
      <family val="2"/>
      <scheme val="minor"/>
    </font>
    <font>
      <b/>
      <sz val="24"/>
      <color theme="1"/>
      <name val="Bahnschrift Light"/>
      <family val="2"/>
    </font>
    <font>
      <b/>
      <sz val="22"/>
      <color theme="1"/>
      <name val="Bahnschrift Light"/>
      <family val="2"/>
    </font>
    <font>
      <b/>
      <sz val="14"/>
      <color theme="0"/>
      <name val="Bahnschrift Light"/>
      <family val="2"/>
    </font>
    <font>
      <sz val="16"/>
      <color theme="1"/>
      <name val="Bahnschrift Light"/>
      <family val="2"/>
    </font>
    <font>
      <b/>
      <sz val="12"/>
      <color theme="2" tint="-0.89999084444715716"/>
      <name val="Bahnschrift Light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Bahnschrift Light"/>
      <family val="2"/>
    </font>
    <font>
      <b/>
      <sz val="18"/>
      <color theme="1"/>
      <name val="Bahnschrift Light"/>
      <family val="2"/>
    </font>
  </fonts>
  <fills count="1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160">
    <xf numFmtId="0" fontId="0" fillId="0" borderId="0" xfId="0"/>
    <xf numFmtId="0" fontId="0" fillId="2" borderId="6" xfId="0" applyFill="1" applyBorder="1"/>
    <xf numFmtId="3" fontId="0" fillId="0" borderId="0" xfId="0" applyNumberFormat="1"/>
    <xf numFmtId="0" fontId="7" fillId="8" borderId="3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9" borderId="3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0" fontId="9" fillId="9" borderId="11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0" fillId="14" borderId="0" xfId="0" applyFill="1"/>
    <xf numFmtId="49" fontId="0" fillId="0" borderId="0" xfId="2" applyNumberFormat="1" applyFont="1"/>
    <xf numFmtId="49" fontId="0" fillId="0" borderId="0" xfId="0" applyNumberFormat="1"/>
    <xf numFmtId="0" fontId="0" fillId="2" borderId="21" xfId="0" applyFill="1" applyBorder="1"/>
    <xf numFmtId="0" fontId="3" fillId="6" borderId="3" xfId="0" applyFont="1" applyFill="1" applyBorder="1" applyAlignment="1">
      <alignment horizontal="center" vertical="center"/>
    </xf>
    <xf numFmtId="0" fontId="21" fillId="7" borderId="7" xfId="0" applyFont="1" applyFill="1" applyBorder="1" applyAlignment="1">
      <alignment horizontal="center" vertical="center"/>
    </xf>
    <xf numFmtId="0" fontId="21" fillId="7" borderId="3" xfId="0" applyFont="1" applyFill="1" applyBorder="1" applyAlignment="1">
      <alignment horizontal="center" vertical="center"/>
    </xf>
    <xf numFmtId="0" fontId="21" fillId="7" borderId="8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top" wrapText="1"/>
    </xf>
    <xf numFmtId="0" fontId="0" fillId="17" borderId="0" xfId="0" applyFill="1"/>
    <xf numFmtId="0" fontId="16" fillId="17" borderId="0" xfId="0" applyFont="1" applyFill="1" applyBorder="1" applyAlignment="1">
      <alignment vertical="center"/>
    </xf>
    <xf numFmtId="0" fontId="17" fillId="17" borderId="0" xfId="0" applyFont="1" applyFill="1" applyBorder="1" applyAlignment="1">
      <alignment horizontal="center" vertical="center"/>
    </xf>
    <xf numFmtId="44" fontId="14" fillId="17" borderId="0" xfId="1" applyFont="1" applyFill="1" applyBorder="1" applyAlignment="1">
      <alignment horizontal="center" vertical="center"/>
    </xf>
    <xf numFmtId="0" fontId="1" fillId="17" borderId="0" xfId="0" applyFont="1" applyFill="1" applyBorder="1" applyAlignment="1">
      <alignment horizontal="center" vertical="center"/>
    </xf>
    <xf numFmtId="0" fontId="0" fillId="17" borderId="0" xfId="0" applyFill="1" applyBorder="1"/>
    <xf numFmtId="0" fontId="5" fillId="2" borderId="34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4" fillId="2" borderId="35" xfId="0" applyFont="1" applyFill="1" applyBorder="1" applyAlignment="1">
      <alignment horizontal="center" vertical="center"/>
    </xf>
    <xf numFmtId="14" fontId="0" fillId="0" borderId="0" xfId="0" applyNumberFormat="1"/>
    <xf numFmtId="0" fontId="5" fillId="6" borderId="7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15" fillId="17" borderId="0" xfId="0" applyFont="1" applyFill="1" applyBorder="1" applyAlignment="1">
      <alignment vertical="center"/>
    </xf>
    <xf numFmtId="0" fontId="6" fillId="17" borderId="0" xfId="0" applyFont="1" applyFill="1" applyBorder="1" applyAlignment="1">
      <alignment horizontal="center" vertical="center"/>
    </xf>
    <xf numFmtId="0" fontId="6" fillId="17" borderId="0" xfId="0" applyFont="1" applyFill="1" applyBorder="1"/>
    <xf numFmtId="0" fontId="0" fillId="17" borderId="0" xfId="0" applyFill="1" applyBorder="1" applyAlignment="1"/>
    <xf numFmtId="0" fontId="0" fillId="17" borderId="0" xfId="0" applyFill="1" applyBorder="1" applyAlignment="1">
      <alignment horizontal="center" vertical="center"/>
    </xf>
    <xf numFmtId="0" fontId="0" fillId="17" borderId="22" xfId="0" applyFill="1" applyBorder="1"/>
    <xf numFmtId="0" fontId="0" fillId="17" borderId="23" xfId="0" applyFill="1" applyBorder="1"/>
    <xf numFmtId="0" fontId="0" fillId="17" borderId="19" xfId="0" applyFill="1" applyBorder="1"/>
    <xf numFmtId="0" fontId="0" fillId="17" borderId="0" xfId="0" quotePrefix="1" applyFill="1" applyBorder="1" applyAlignment="1">
      <alignment horizontal="center"/>
    </xf>
    <xf numFmtId="0" fontId="9" fillId="3" borderId="13" xfId="0" applyFont="1" applyFill="1" applyBorder="1" applyAlignment="1">
      <alignment horizontal="center" vertical="center"/>
    </xf>
    <xf numFmtId="0" fontId="18" fillId="17" borderId="0" xfId="0" applyFont="1" applyFill="1" applyBorder="1" applyAlignment="1"/>
    <xf numFmtId="0" fontId="17" fillId="13" borderId="19" xfId="0" applyFont="1" applyFill="1" applyBorder="1" applyAlignment="1">
      <alignment horizontal="center" vertical="center"/>
    </xf>
    <xf numFmtId="0" fontId="10" fillId="10" borderId="11" xfId="0" applyFont="1" applyFill="1" applyBorder="1" applyAlignment="1">
      <alignment horizontal="center" vertical="center"/>
    </xf>
    <xf numFmtId="0" fontId="17" fillId="11" borderId="22" xfId="0" applyFont="1" applyFill="1" applyBorder="1" applyAlignment="1">
      <alignment horizontal="center" vertical="center"/>
    </xf>
    <xf numFmtId="0" fontId="17" fillId="11" borderId="23" xfId="0" applyFont="1" applyFill="1" applyBorder="1" applyAlignment="1">
      <alignment horizontal="center" vertical="center"/>
    </xf>
    <xf numFmtId="0" fontId="17" fillId="11" borderId="25" xfId="0" applyFont="1" applyFill="1" applyBorder="1" applyAlignment="1">
      <alignment horizontal="center" vertical="center"/>
    </xf>
    <xf numFmtId="0" fontId="17" fillId="11" borderId="26" xfId="0" applyFont="1" applyFill="1" applyBorder="1" applyAlignment="1">
      <alignment horizontal="center" vertical="center"/>
    </xf>
    <xf numFmtId="0" fontId="20" fillId="11" borderId="23" xfId="0" applyFont="1" applyFill="1" applyBorder="1" applyAlignment="1">
      <alignment horizontal="left" vertical="center"/>
    </xf>
    <xf numFmtId="0" fontId="20" fillId="11" borderId="24" xfId="0" applyFont="1" applyFill="1" applyBorder="1" applyAlignment="1">
      <alignment horizontal="left" vertical="center"/>
    </xf>
    <xf numFmtId="0" fontId="20" fillId="11" borderId="26" xfId="0" applyFont="1" applyFill="1" applyBorder="1" applyAlignment="1">
      <alignment horizontal="left" vertical="center"/>
    </xf>
    <xf numFmtId="0" fontId="20" fillId="11" borderId="27" xfId="0" applyFont="1" applyFill="1" applyBorder="1" applyAlignment="1">
      <alignment horizontal="left" vertical="center"/>
    </xf>
    <xf numFmtId="0" fontId="3" fillId="12" borderId="7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10" xfId="0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19" fillId="10" borderId="4" xfId="0" applyFont="1" applyFill="1" applyBorder="1" applyAlignment="1">
      <alignment horizontal="center" vertical="center"/>
    </xf>
    <xf numFmtId="0" fontId="19" fillId="10" borderId="9" xfId="0" applyFont="1" applyFill="1" applyBorder="1" applyAlignment="1">
      <alignment horizontal="center" vertical="center"/>
    </xf>
    <xf numFmtId="0" fontId="3" fillId="12" borderId="28" xfId="0" applyFont="1" applyFill="1" applyBorder="1" applyAlignment="1">
      <alignment horizontal="center" vertical="center"/>
    </xf>
    <xf numFmtId="0" fontId="3" fillId="12" borderId="14" xfId="0" applyFont="1" applyFill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44" fontId="14" fillId="0" borderId="3" xfId="1" applyFont="1" applyBorder="1" applyAlignment="1">
      <alignment horizontal="center" vertical="center"/>
    </xf>
    <xf numFmtId="44" fontId="14" fillId="0" borderId="8" xfId="1" applyFont="1" applyBorder="1" applyAlignment="1">
      <alignment horizontal="center" vertical="center"/>
    </xf>
    <xf numFmtId="44" fontId="14" fillId="0" borderId="9" xfId="1" applyFont="1" applyBorder="1" applyAlignment="1">
      <alignment horizontal="center" vertical="center"/>
    </xf>
    <xf numFmtId="44" fontId="14" fillId="0" borderId="11" xfId="1" applyFont="1" applyBorder="1" applyAlignment="1">
      <alignment horizontal="center" vertical="center"/>
    </xf>
    <xf numFmtId="0" fontId="5" fillId="18" borderId="12" xfId="0" applyFont="1" applyFill="1" applyBorder="1" applyAlignment="1">
      <alignment horizontal="center" vertical="center"/>
    </xf>
    <xf numFmtId="0" fontId="5" fillId="18" borderId="4" xfId="0" applyFont="1" applyFill="1" applyBorder="1" applyAlignment="1">
      <alignment horizontal="center" vertical="center"/>
    </xf>
    <xf numFmtId="0" fontId="5" fillId="18" borderId="10" xfId="0" applyFont="1" applyFill="1" applyBorder="1" applyAlignment="1">
      <alignment horizontal="center" vertical="center"/>
    </xf>
    <xf numFmtId="0" fontId="5" fillId="18" borderId="9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0" fontId="5" fillId="0" borderId="38" xfId="0" applyFont="1" applyFill="1" applyBorder="1" applyAlignment="1">
      <alignment horizontal="center" vertical="center" wrapText="1"/>
    </xf>
    <xf numFmtId="0" fontId="5" fillId="0" borderId="23" xfId="0" applyFont="1" applyFill="1" applyBorder="1" applyAlignment="1">
      <alignment horizontal="center" vertical="center" wrapText="1"/>
    </xf>
    <xf numFmtId="0" fontId="5" fillId="0" borderId="24" xfId="0" applyFont="1" applyFill="1" applyBorder="1" applyAlignment="1">
      <alignment horizontal="center" vertical="center" wrapText="1"/>
    </xf>
    <xf numFmtId="0" fontId="5" fillId="0" borderId="32" xfId="0" applyFont="1" applyFill="1" applyBorder="1" applyAlignment="1">
      <alignment horizontal="center" vertical="center" wrapText="1"/>
    </xf>
    <xf numFmtId="0" fontId="5" fillId="0" borderId="21" xfId="0" applyFont="1" applyFill="1" applyBorder="1" applyAlignment="1">
      <alignment horizontal="center" vertical="center" wrapText="1"/>
    </xf>
    <xf numFmtId="0" fontId="5" fillId="0" borderId="31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11" fillId="4" borderId="22" xfId="0" applyFont="1" applyFill="1" applyBorder="1" applyAlignment="1">
      <alignment horizontal="center" vertical="center"/>
    </xf>
    <xf numFmtId="0" fontId="11" fillId="4" borderId="24" xfId="0" applyFont="1" applyFill="1" applyBorder="1" applyAlignment="1">
      <alignment horizontal="center" vertical="center"/>
    </xf>
    <xf numFmtId="0" fontId="11" fillId="4" borderId="19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0" fontId="11" fillId="4" borderId="25" xfId="0" applyFont="1" applyFill="1" applyBorder="1" applyAlignment="1">
      <alignment horizontal="center" vertical="center"/>
    </xf>
    <xf numFmtId="0" fontId="11" fillId="4" borderId="27" xfId="0" applyFont="1" applyFill="1" applyBorder="1" applyAlignment="1">
      <alignment horizontal="center" vertical="center"/>
    </xf>
    <xf numFmtId="0" fontId="17" fillId="6" borderId="12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6" borderId="10" xfId="0" applyFont="1" applyFill="1" applyBorder="1" applyAlignment="1">
      <alignment horizontal="center" vertical="center"/>
    </xf>
    <xf numFmtId="0" fontId="17" fillId="6" borderId="11" xfId="0" applyFont="1" applyFill="1" applyBorder="1" applyAlignment="1">
      <alignment horizontal="center" vertical="center"/>
    </xf>
    <xf numFmtId="49" fontId="13" fillId="5" borderId="1" xfId="0" applyNumberFormat="1" applyFont="1" applyFill="1" applyBorder="1" applyAlignment="1">
      <alignment horizontal="center" vertical="center"/>
    </xf>
    <xf numFmtId="49" fontId="13" fillId="5" borderId="18" xfId="0" applyNumberFormat="1" applyFont="1" applyFill="1" applyBorder="1" applyAlignment="1">
      <alignment horizontal="center" vertical="center"/>
    </xf>
    <xf numFmtId="49" fontId="13" fillId="5" borderId="2" xfId="0" applyNumberFormat="1" applyFont="1" applyFill="1" applyBorder="1" applyAlignment="1">
      <alignment horizontal="center" vertical="center"/>
    </xf>
    <xf numFmtId="0" fontId="11" fillId="13" borderId="22" xfId="0" applyFont="1" applyFill="1" applyBorder="1" applyAlignment="1">
      <alignment horizontal="center" vertical="center"/>
    </xf>
    <xf numFmtId="0" fontId="11" fillId="13" borderId="23" xfId="0" applyFont="1" applyFill="1" applyBorder="1" applyAlignment="1">
      <alignment horizontal="center" vertical="center"/>
    </xf>
    <xf numFmtId="0" fontId="11" fillId="13" borderId="24" xfId="0" applyFont="1" applyFill="1" applyBorder="1" applyAlignment="1">
      <alignment horizontal="center" vertical="center"/>
    </xf>
    <xf numFmtId="0" fontId="22" fillId="18" borderId="12" xfId="0" applyFont="1" applyFill="1" applyBorder="1" applyAlignment="1">
      <alignment horizontal="center" vertical="center"/>
    </xf>
    <xf numFmtId="0" fontId="22" fillId="18" borderId="4" xfId="0" applyFont="1" applyFill="1" applyBorder="1" applyAlignment="1">
      <alignment horizontal="center" vertical="center"/>
    </xf>
    <xf numFmtId="0" fontId="22" fillId="18" borderId="5" xfId="0" applyFont="1" applyFill="1" applyBorder="1" applyAlignment="1">
      <alignment horizontal="center" vertical="center"/>
    </xf>
    <xf numFmtId="0" fontId="19" fillId="13" borderId="22" xfId="0" applyFont="1" applyFill="1" applyBorder="1" applyAlignment="1">
      <alignment horizontal="center" vertical="center"/>
    </xf>
    <xf numFmtId="0" fontId="19" fillId="13" borderId="19" xfId="0" applyFont="1" applyFill="1" applyBorder="1" applyAlignment="1">
      <alignment horizontal="center" vertical="center"/>
    </xf>
    <xf numFmtId="44" fontId="14" fillId="18" borderId="7" xfId="1" applyNumberFormat="1" applyFont="1" applyFill="1" applyBorder="1" applyAlignment="1">
      <alignment horizontal="center" vertical="center"/>
    </xf>
    <xf numFmtId="44" fontId="14" fillId="18" borderId="3" xfId="1" applyNumberFormat="1" applyFont="1" applyFill="1" applyBorder="1" applyAlignment="1">
      <alignment horizontal="center" vertical="center"/>
    </xf>
    <xf numFmtId="44" fontId="14" fillId="18" borderId="8" xfId="1" applyNumberFormat="1" applyFont="1" applyFill="1" applyBorder="1" applyAlignment="1">
      <alignment horizontal="center" vertical="center"/>
    </xf>
    <xf numFmtId="44" fontId="14" fillId="18" borderId="10" xfId="1" applyNumberFormat="1" applyFont="1" applyFill="1" applyBorder="1" applyAlignment="1">
      <alignment horizontal="center" vertical="center"/>
    </xf>
    <xf numFmtId="44" fontId="14" fillId="18" borderId="9" xfId="1" applyNumberFormat="1" applyFont="1" applyFill="1" applyBorder="1" applyAlignment="1">
      <alignment horizontal="center" vertical="center"/>
    </xf>
    <xf numFmtId="44" fontId="14" fillId="18" borderId="11" xfId="1" applyNumberFormat="1" applyFont="1" applyFill="1" applyBorder="1" applyAlignment="1">
      <alignment horizontal="center" vertical="center"/>
    </xf>
    <xf numFmtId="0" fontId="25" fillId="15" borderId="12" xfId="0" applyFont="1" applyFill="1" applyBorder="1" applyAlignment="1">
      <alignment horizontal="center" vertical="center"/>
    </xf>
    <xf numFmtId="0" fontId="25" fillId="15" borderId="4" xfId="0" applyFont="1" applyFill="1" applyBorder="1" applyAlignment="1">
      <alignment horizontal="center" vertical="center"/>
    </xf>
    <xf numFmtId="0" fontId="25" fillId="15" borderId="5" xfId="0" applyFont="1" applyFill="1" applyBorder="1" applyAlignment="1">
      <alignment horizontal="center" vertical="center"/>
    </xf>
    <xf numFmtId="0" fontId="25" fillId="15" borderId="10" xfId="0" applyFont="1" applyFill="1" applyBorder="1" applyAlignment="1">
      <alignment horizontal="center" vertical="center"/>
    </xf>
    <xf numFmtId="0" fontId="25" fillId="15" borderId="9" xfId="0" applyFont="1" applyFill="1" applyBorder="1" applyAlignment="1">
      <alignment horizontal="center" vertical="center"/>
    </xf>
    <xf numFmtId="0" fontId="25" fillId="15" borderId="11" xfId="0" applyFont="1" applyFill="1" applyBorder="1" applyAlignment="1">
      <alignment horizontal="center" vertical="center"/>
    </xf>
    <xf numFmtId="0" fontId="23" fillId="16" borderId="28" xfId="0" applyFont="1" applyFill="1" applyBorder="1" applyAlignment="1">
      <alignment horizontal="center" vertical="center"/>
    </xf>
    <xf numFmtId="0" fontId="23" fillId="16" borderId="14" xfId="0" applyFont="1" applyFill="1" applyBorder="1" applyAlignment="1">
      <alignment horizontal="center" vertical="center"/>
    </xf>
    <xf numFmtId="0" fontId="23" fillId="16" borderId="10" xfId="0" applyFont="1" applyFill="1" applyBorder="1" applyAlignment="1">
      <alignment horizontal="center" vertical="center"/>
    </xf>
    <xf numFmtId="0" fontId="23" fillId="16" borderId="9" xfId="0" applyFont="1" applyFill="1" applyBorder="1" applyAlignment="1">
      <alignment horizontal="center" vertical="center"/>
    </xf>
    <xf numFmtId="0" fontId="17" fillId="14" borderId="33" xfId="0" applyFont="1" applyFill="1" applyBorder="1" applyAlignment="1">
      <alignment horizontal="center" vertical="center"/>
    </xf>
    <xf numFmtId="0" fontId="17" fillId="14" borderId="0" xfId="0" applyFont="1" applyFill="1" applyBorder="1" applyAlignment="1">
      <alignment horizontal="center" vertical="center"/>
    </xf>
    <xf numFmtId="0" fontId="17" fillId="14" borderId="20" xfId="0" applyFont="1" applyFill="1" applyBorder="1" applyAlignment="1">
      <alignment horizontal="center" vertical="center"/>
    </xf>
    <xf numFmtId="0" fontId="17" fillId="14" borderId="32" xfId="0" applyFont="1" applyFill="1" applyBorder="1" applyAlignment="1">
      <alignment horizontal="center" vertical="center"/>
    </xf>
    <xf numFmtId="0" fontId="17" fillId="14" borderId="21" xfId="0" applyFont="1" applyFill="1" applyBorder="1" applyAlignment="1">
      <alignment horizontal="center" vertical="center"/>
    </xf>
    <xf numFmtId="0" fontId="17" fillId="14" borderId="31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3" fillId="2" borderId="25" xfId="0" applyFont="1" applyFill="1" applyBorder="1" applyAlignment="1">
      <alignment horizontal="center" vertical="center" wrapText="1"/>
    </xf>
    <xf numFmtId="0" fontId="3" fillId="2" borderId="26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5" fillId="18" borderId="22" xfId="0" applyFont="1" applyFill="1" applyBorder="1" applyAlignment="1">
      <alignment horizontal="center" vertical="center" wrapText="1"/>
    </xf>
    <xf numFmtId="0" fontId="5" fillId="18" borderId="36" xfId="0" applyFont="1" applyFill="1" applyBorder="1" applyAlignment="1">
      <alignment horizontal="center" vertical="center" wrapText="1"/>
    </xf>
    <xf numFmtId="0" fontId="5" fillId="18" borderId="30" xfId="0" applyFont="1" applyFill="1" applyBorder="1" applyAlignment="1">
      <alignment horizontal="center" vertical="center" wrapText="1"/>
    </xf>
    <xf numFmtId="0" fontId="5" fillId="18" borderId="37" xfId="0" applyFont="1" applyFill="1" applyBorder="1" applyAlignment="1">
      <alignment horizontal="center" vertical="center" wrapText="1"/>
    </xf>
    <xf numFmtId="0" fontId="1" fillId="11" borderId="22" xfId="0" applyFont="1" applyFill="1" applyBorder="1" applyAlignment="1">
      <alignment horizontal="center" vertical="center" wrapText="1"/>
    </xf>
    <xf numFmtId="0" fontId="1" fillId="11" borderId="24" xfId="0" applyFont="1" applyFill="1" applyBorder="1" applyAlignment="1">
      <alignment horizontal="center" vertical="center" wrapText="1"/>
    </xf>
    <xf numFmtId="0" fontId="1" fillId="11" borderId="25" xfId="0" applyFont="1" applyFill="1" applyBorder="1" applyAlignment="1">
      <alignment horizontal="center" vertical="center" wrapText="1"/>
    </xf>
    <xf numFmtId="0" fontId="1" fillId="11" borderId="27" xfId="0" applyFont="1" applyFill="1" applyBorder="1" applyAlignment="1">
      <alignment horizontal="center" vertical="center" wrapText="1"/>
    </xf>
    <xf numFmtId="0" fontId="26" fillId="14" borderId="23" xfId="0" applyFont="1" applyFill="1" applyBorder="1" applyAlignment="1">
      <alignment horizontal="center" vertical="center"/>
    </xf>
    <xf numFmtId="0" fontId="26" fillId="14" borderId="24" xfId="0" applyFont="1" applyFill="1" applyBorder="1" applyAlignment="1">
      <alignment horizontal="center" vertical="center"/>
    </xf>
    <xf numFmtId="0" fontId="26" fillId="14" borderId="26" xfId="0" applyFont="1" applyFill="1" applyBorder="1" applyAlignment="1">
      <alignment horizontal="center" vertical="center"/>
    </xf>
    <xf numFmtId="0" fontId="26" fillId="14" borderId="27" xfId="0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18">
    <dxf>
      <alignment horizontal="center" vertical="top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4" tint="-0.499984740745262"/>
        <name val="Bahnschrift Light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Bahnschrift Light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name val="Bahnschrift Light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double">
          <color indexed="64"/>
        </bottom>
      </border>
    </dxf>
    <dxf>
      <font>
        <strike val="0"/>
        <outline val="0"/>
        <shadow val="0"/>
        <u val="none"/>
        <vertAlign val="baseline"/>
        <name val="Bahnschrift Light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Bahnschrift Light"/>
        <family val="2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214309</xdr:colOff>
      <xdr:row>16</xdr:row>
      <xdr:rowOff>190499</xdr:rowOff>
    </xdr:from>
    <xdr:to>
      <xdr:col>10</xdr:col>
      <xdr:colOff>785812</xdr:colOff>
      <xdr:row>20</xdr:row>
      <xdr:rowOff>184780</xdr:rowOff>
    </xdr:to>
    <xdr:sp macro="[0]!InsertCTE" textlink="">
      <xdr:nvSpPr>
        <xdr:cNvPr id="3" name="Fluxograma: Processo Alternativo 2">
          <a:extLst>
            <a:ext uri="{FF2B5EF4-FFF2-40B4-BE49-F238E27FC236}">
              <a16:creationId xmlns:a16="http://schemas.microsoft.com/office/drawing/2014/main" id="{218EB361-44F5-4624-97C3-730C07E5717D}"/>
            </a:ext>
          </a:extLst>
        </xdr:cNvPr>
        <xdr:cNvSpPr/>
      </xdr:nvSpPr>
      <xdr:spPr>
        <a:xfrm>
          <a:off x="8858247" y="3857624"/>
          <a:ext cx="3845721" cy="792000"/>
        </a:xfrm>
        <a:prstGeom prst="flowChartAlternateProcess">
          <a:avLst/>
        </a:prstGeom>
        <a:gradFill>
          <a:gsLst>
            <a:gs pos="0">
              <a:schemeClr val="accent6">
                <a:satMod val="103000"/>
                <a:lumMod val="102000"/>
                <a:tint val="94000"/>
              </a:schemeClr>
            </a:gs>
            <a:gs pos="47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0" scaled="1"/>
        </a:gradFill>
        <a:scene3d>
          <a:camera prst="orthographicFront"/>
          <a:lightRig rig="threePt" dir="t"/>
        </a:scene3d>
        <a:sp3d>
          <a:bevelT w="165100" prst="coolSlant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2000" b="1">
              <a:solidFill>
                <a:schemeClr val="tx2">
                  <a:lumMod val="75000"/>
                </a:schemeClr>
              </a:solidFill>
              <a:latin typeface="Century Gothic" panose="020B0502020202020204" pitchFamily="34" charset="0"/>
            </a:rPr>
            <a:t>GERAR CTE</a:t>
          </a:r>
        </a:p>
      </xdr:txBody>
    </xdr:sp>
    <xdr:clientData/>
  </xdr:twoCellAnchor>
  <xdr:twoCellAnchor>
    <xdr:from>
      <xdr:col>4</xdr:col>
      <xdr:colOff>59531</xdr:colOff>
      <xdr:row>17</xdr:row>
      <xdr:rowOff>11905</xdr:rowOff>
    </xdr:from>
    <xdr:to>
      <xdr:col>5</xdr:col>
      <xdr:colOff>23811</xdr:colOff>
      <xdr:row>20</xdr:row>
      <xdr:rowOff>196686</xdr:rowOff>
    </xdr:to>
    <xdr:sp macro="[0]!SelectNF" textlink="">
      <xdr:nvSpPr>
        <xdr:cNvPr id="5" name="Fluxograma: Processo Alternativo 4">
          <a:extLst>
            <a:ext uri="{FF2B5EF4-FFF2-40B4-BE49-F238E27FC236}">
              <a16:creationId xmlns:a16="http://schemas.microsoft.com/office/drawing/2014/main" id="{800AC7EC-A70C-442B-9A82-F99D2AB090A1}"/>
            </a:ext>
          </a:extLst>
        </xdr:cNvPr>
        <xdr:cNvSpPr/>
      </xdr:nvSpPr>
      <xdr:spPr>
        <a:xfrm>
          <a:off x="7262812" y="3869530"/>
          <a:ext cx="1404937" cy="792000"/>
        </a:xfrm>
        <a:prstGeom prst="flowChartAlternateProcess">
          <a:avLst/>
        </a:prstGeom>
        <a:gradFill>
          <a:gsLst>
            <a:gs pos="4000">
              <a:schemeClr val="accent1">
                <a:lumMod val="75000"/>
              </a:schemeClr>
            </a:gs>
            <a:gs pos="47000">
              <a:schemeClr val="accent1">
                <a:lumMod val="75000"/>
              </a:schemeClr>
            </a:gs>
            <a:gs pos="100000">
              <a:schemeClr val="accent1">
                <a:lumMod val="50000"/>
              </a:schemeClr>
            </a:gs>
          </a:gsLst>
          <a:lin ang="0" scaled="1"/>
        </a:gradFill>
        <a:scene3d>
          <a:camera prst="orthographicFront"/>
          <a:lightRig rig="threePt" dir="t"/>
        </a:scene3d>
        <a:sp3d>
          <a:bevelT w="165100" prst="coolSlant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1600" b="1">
              <a:solidFill>
                <a:schemeClr val="tx1">
                  <a:lumMod val="95000"/>
                  <a:lumOff val="5000"/>
                </a:schemeClr>
              </a:solidFill>
              <a:latin typeface="Century Gothic" panose="020B0502020202020204" pitchFamily="34" charset="0"/>
            </a:rPr>
            <a:t>BUSCAR</a:t>
          </a:r>
          <a:r>
            <a:rPr lang="pt-BR" sz="2000" b="1">
              <a:solidFill>
                <a:schemeClr val="tx1">
                  <a:lumMod val="95000"/>
                  <a:lumOff val="5000"/>
                </a:schemeClr>
              </a:solidFill>
              <a:latin typeface="Century Gothic" panose="020B0502020202020204" pitchFamily="34" charset="0"/>
            </a:rPr>
            <a:t> </a:t>
          </a:r>
          <a:r>
            <a:rPr lang="pt-BR" sz="1600" b="1">
              <a:solidFill>
                <a:schemeClr val="tx1">
                  <a:lumMod val="95000"/>
                  <a:lumOff val="5000"/>
                </a:schemeClr>
              </a:solidFill>
              <a:latin typeface="Century Gothic" panose="020B0502020202020204" pitchFamily="34" charset="0"/>
            </a:rPr>
            <a:t>NF</a:t>
          </a:r>
          <a:endParaRPr lang="pt-BR" sz="2000" b="1">
            <a:solidFill>
              <a:schemeClr val="tx1">
                <a:lumMod val="95000"/>
                <a:lumOff val="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12</xdr:col>
      <xdr:colOff>38100</xdr:colOff>
      <xdr:row>16</xdr:row>
      <xdr:rowOff>171450</xdr:rowOff>
    </xdr:from>
    <xdr:to>
      <xdr:col>16</xdr:col>
      <xdr:colOff>214312</xdr:colOff>
      <xdr:row>20</xdr:row>
      <xdr:rowOff>166687</xdr:rowOff>
    </xdr:to>
    <xdr:sp macro="[0]!InsertMDFE" textlink="">
      <xdr:nvSpPr>
        <xdr:cNvPr id="4" name="Fluxograma: Processo Alternativo 3">
          <a:extLst>
            <a:ext uri="{FF2B5EF4-FFF2-40B4-BE49-F238E27FC236}">
              <a16:creationId xmlns:a16="http://schemas.microsoft.com/office/drawing/2014/main" id="{454B82A5-8328-4303-A945-FF69A2E111C7}"/>
            </a:ext>
          </a:extLst>
        </xdr:cNvPr>
        <xdr:cNvSpPr/>
      </xdr:nvSpPr>
      <xdr:spPr>
        <a:xfrm>
          <a:off x="12896850" y="3767138"/>
          <a:ext cx="1962150" cy="792955"/>
        </a:xfrm>
        <a:prstGeom prst="flowChartAlternateProcess">
          <a:avLst/>
        </a:prstGeom>
        <a:gradFill>
          <a:gsLst>
            <a:gs pos="0">
              <a:schemeClr val="accent1">
                <a:lumMod val="60000"/>
                <a:lumOff val="40000"/>
              </a:schemeClr>
            </a:gs>
            <a:gs pos="47000">
              <a:schemeClr val="accent1">
                <a:lumMod val="60000"/>
                <a:lumOff val="40000"/>
              </a:schemeClr>
            </a:gs>
            <a:gs pos="100000">
              <a:schemeClr val="accent1">
                <a:lumMod val="75000"/>
              </a:schemeClr>
            </a:gs>
          </a:gsLst>
          <a:lin ang="0" scaled="1"/>
        </a:gradFill>
        <a:scene3d>
          <a:camera prst="orthographicFront"/>
          <a:lightRig rig="threePt" dir="t"/>
        </a:scene3d>
        <a:sp3d>
          <a:bevelT w="165100" prst="coolSlant"/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t-BR" sz="2000" b="1">
              <a:solidFill>
                <a:schemeClr val="tx2">
                  <a:lumMod val="75000"/>
                </a:schemeClr>
              </a:solidFill>
              <a:latin typeface="Century Gothic" panose="020B0502020202020204" pitchFamily="34" charset="0"/>
            </a:rPr>
            <a:t>GERAR MDFE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B89B87-E069-47E0-B451-DCF936977171}" name="Tabela134" displayName="Tabela134" ref="B4:E8" totalsRowShown="0" headerRowDxfId="11" dataDxfId="9" headerRowBorderDxfId="10" tableBorderDxfId="8" totalsRowBorderDxfId="7">
  <tableColumns count="4">
    <tableColumn id="1" xr3:uid="{D9070188-C883-4700-A3B6-690A77551B85}" name="-" dataDxfId="6"/>
    <tableColumn id="2" xr3:uid="{1A20F186-F5EA-43E6-81F6-F8591742BF89}" name="CODIGO" dataDxfId="5"/>
    <tableColumn id="3" xr3:uid="{6FDFAEB0-0813-48EE-9629-6610E27535B2}" name="NOME" dataDxfId="4"/>
    <tableColumn id="4" xr3:uid="{79E1142E-F5F7-495B-B31D-A158E786A041}" name="CNPJ/CPF" dataDxfId="3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BD8D6A-3443-4D69-B780-2A2EDE812CB8}" name="Tabela1" displayName="Tabela1" ref="A1:B40" totalsRowShown="0" headerRowDxfId="2">
  <autoFilter ref="A1:B40" xr:uid="{CDBD8D6A-3443-4D69-B780-2A2EDE812CB8}"/>
  <tableColumns count="2">
    <tableColumn id="1" xr3:uid="{0ED40740-4111-4A89-B908-05B41FCEFC62}" name="SELECTS" dataDxfId="1"/>
    <tableColumn id="2" xr3:uid="{4B53F6E3-4DFF-4011-BC8E-7F5A93E1664A}" name="FUNÇÃO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6024D-2F57-4504-B299-310E5F197E49}">
  <sheetPr codeName="Planilha3"/>
  <dimension ref="A1:AF62"/>
  <sheetViews>
    <sheetView topLeftCell="C1" zoomScale="80" zoomScaleNormal="80" workbookViewId="0">
      <selection activeCell="C11" sqref="C11"/>
    </sheetView>
  </sheetViews>
  <sheetFormatPr defaultRowHeight="15" x14ac:dyDescent="0.25"/>
  <cols>
    <col min="1" max="1" width="2.42578125" style="16" customWidth="1"/>
    <col min="2" max="2" width="17.85546875" style="16" bestFit="1" customWidth="1"/>
    <col min="3" max="3" width="12.85546875" style="16" bestFit="1" customWidth="1"/>
    <col min="4" max="4" width="73.5703125" style="16" bestFit="1" customWidth="1"/>
    <col min="5" max="5" width="21.5703125" style="16" bestFit="1" customWidth="1"/>
    <col min="6" max="6" width="3.140625" style="16" customWidth="1"/>
    <col min="7" max="7" width="12.42578125" style="16" customWidth="1"/>
    <col min="8" max="8" width="14.42578125" style="16" customWidth="1"/>
    <col min="9" max="9" width="9.85546875" style="16" customWidth="1"/>
    <col min="10" max="10" width="9.140625" style="16"/>
    <col min="11" max="11" width="11.7109375" style="16" customWidth="1"/>
    <col min="12" max="12" width="2.28515625" style="16" customWidth="1"/>
    <col min="13" max="13" width="7" style="16" customWidth="1"/>
    <col min="14" max="14" width="5" style="16" customWidth="1"/>
    <col min="15" max="15" width="8" style="16" customWidth="1"/>
    <col min="16" max="16" width="6.7109375" style="16" customWidth="1"/>
    <col min="17" max="17" width="3.7109375" style="16" customWidth="1"/>
    <col min="18" max="18" width="2.85546875" style="16" customWidth="1"/>
    <col min="19" max="16384" width="9.140625" style="16"/>
  </cols>
  <sheetData>
    <row r="1" spans="1:32" ht="15.75" thickBot="1" x14ac:dyDescent="0.3">
      <c r="A1" s="47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</row>
    <row r="2" spans="1:32" ht="21" x14ac:dyDescent="0.25">
      <c r="A2" s="49"/>
      <c r="B2" s="67" t="s">
        <v>24</v>
      </c>
      <c r="C2" s="69" t="str">
        <f>IF((INPUT!W2)="","NOTA FISCAL NÃO ENCONTRADA",(INPUT!W2))</f>
        <v>FAZENDA SONHO DOURADO</v>
      </c>
      <c r="D2" s="69"/>
      <c r="E2" s="12" t="s">
        <v>7</v>
      </c>
      <c r="F2" s="34"/>
      <c r="G2" s="55" t="s">
        <v>62</v>
      </c>
      <c r="H2" s="56"/>
      <c r="I2" s="59" t="str">
        <f>IF((INPUT!A2)="","-",(INPUT!A2))</f>
        <v>043801</v>
      </c>
      <c r="J2" s="59"/>
      <c r="K2" s="60"/>
      <c r="L2" s="42"/>
      <c r="M2" s="152" t="s">
        <v>202</v>
      </c>
      <c r="N2" s="153"/>
      <c r="O2" s="156" t="str">
        <f>IF((MDFEANT!B2)="","NÃO HÁ",(MDFEANT!B2))</f>
        <v>00017989</v>
      </c>
      <c r="P2" s="156"/>
      <c r="Q2" s="157"/>
      <c r="R2" s="34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</row>
    <row r="3" spans="1:32" ht="21.75" thickBot="1" x14ac:dyDescent="0.3">
      <c r="A3" s="49"/>
      <c r="B3" s="68"/>
      <c r="C3" s="70"/>
      <c r="D3" s="70"/>
      <c r="E3" s="54" t="str">
        <f>IF((INPUT!K2)="","-",(INPUT!K2))</f>
        <v>ALGODAO EM CAROCO</v>
      </c>
      <c r="F3" s="34"/>
      <c r="G3" s="57"/>
      <c r="H3" s="58"/>
      <c r="I3" s="61"/>
      <c r="J3" s="61"/>
      <c r="K3" s="62"/>
      <c r="L3" s="42"/>
      <c r="M3" s="154"/>
      <c r="N3" s="155"/>
      <c r="O3" s="158"/>
      <c r="P3" s="158"/>
      <c r="Q3" s="159"/>
      <c r="R3" s="34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</row>
    <row r="4" spans="1:32" ht="18.75" thickTop="1" x14ac:dyDescent="0.25">
      <c r="A4" s="49"/>
      <c r="B4" s="51" t="s">
        <v>20</v>
      </c>
      <c r="C4" s="24" t="s">
        <v>16</v>
      </c>
      <c r="D4" s="24" t="s">
        <v>15</v>
      </c>
      <c r="E4" s="25" t="s">
        <v>19</v>
      </c>
      <c r="F4" s="34"/>
      <c r="G4" s="71" t="s">
        <v>42</v>
      </c>
      <c r="H4" s="72"/>
      <c r="I4" s="73" t="str">
        <f>IF(INPUT!AE2="","-",(CONCATENATE(IF(INPUT!AE2&lt;10,CONCATENATE("0",(INPUT!AE2)),(INPUT!AE2)),"/",IF(INPUT!AF2 &lt;10,CONCATENATE("0",(INPUT!AF2)),(INPUT!AF2)),"/",INPUT!AG2)))</f>
        <v>26/07/2021</v>
      </c>
      <c r="J4" s="73"/>
      <c r="K4" s="74"/>
      <c r="L4" s="34"/>
      <c r="M4" s="142" t="s">
        <v>148</v>
      </c>
      <c r="N4" s="143"/>
      <c r="O4" s="143"/>
      <c r="P4" s="143"/>
      <c r="Q4" s="144"/>
      <c r="R4" s="34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</row>
    <row r="5" spans="1:32" ht="15.75" thickBot="1" x14ac:dyDescent="0.3">
      <c r="A5" s="49"/>
      <c r="B5" s="13" t="s">
        <v>18</v>
      </c>
      <c r="C5" s="11" t="str">
        <f>IF((INPUT!P2)="","-",(INPUT!P2))</f>
        <v>00059</v>
      </c>
      <c r="D5" s="10" t="str">
        <f>IF((INPUT!R2)="","-",(INPUT!R2))</f>
        <v>AGROPECUARIA TRES ESTRELAS LTDA FILIAL</v>
      </c>
      <c r="E5" s="14" t="str">
        <f>IF((INPUT!Q2)="","-",(INPUT!Q2))</f>
        <v>09490719000203</v>
      </c>
      <c r="F5" s="34"/>
      <c r="G5" s="63"/>
      <c r="H5" s="64"/>
      <c r="I5" s="75"/>
      <c r="J5" s="75"/>
      <c r="K5" s="76"/>
      <c r="L5" s="34"/>
      <c r="M5" s="145"/>
      <c r="N5" s="146"/>
      <c r="O5" s="146"/>
      <c r="P5" s="146"/>
      <c r="Q5" s="147"/>
      <c r="R5" s="34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</row>
    <row r="6" spans="1:32" x14ac:dyDescent="0.25">
      <c r="A6" s="49"/>
      <c r="B6" s="13" t="s">
        <v>37</v>
      </c>
      <c r="C6" s="11" t="str">
        <f>IF((INPUT!M2)="","-",(INPUT!M2))</f>
        <v>5525</v>
      </c>
      <c r="D6" s="10" t="str">
        <f>IF((INPUT!N2)="","-",(INPUT!N2))</f>
        <v>SANTO ANTONIO DO LESTE</v>
      </c>
      <c r="E6" s="14" t="s">
        <v>20</v>
      </c>
      <c r="F6" s="34"/>
      <c r="G6" s="63" t="s">
        <v>47</v>
      </c>
      <c r="H6" s="64"/>
      <c r="I6" s="77" t="str">
        <f>CONCATENATE((INPUT!S2)," ","KG",)</f>
        <v>12000.00 KG</v>
      </c>
      <c r="J6" s="77"/>
      <c r="K6" s="78"/>
      <c r="L6" s="34"/>
      <c r="M6" s="148" t="s">
        <v>83</v>
      </c>
      <c r="N6" s="149"/>
      <c r="O6" s="91" t="str">
        <f ca="1">IF(MDFEANT!B2="","OK",(IF(MDFEANT!F2="NAO CANCELADO","OK",CONCATENATE("VERIFICAR ",MDFEANT!B2))))</f>
        <v>OK</v>
      </c>
      <c r="P6" s="92"/>
      <c r="Q6" s="93"/>
      <c r="R6" s="34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</row>
    <row r="7" spans="1:32" ht="15.75" thickBot="1" x14ac:dyDescent="0.3">
      <c r="A7" s="49"/>
      <c r="B7" s="13" t="s">
        <v>14</v>
      </c>
      <c r="C7" s="11" t="str">
        <f>IF((INPUT!B2)="","-",(INPUT!B2))</f>
        <v>01934</v>
      </c>
      <c r="D7" s="10" t="str">
        <f>IF((INPUT!C2)="","-",(INPUT!C2))</f>
        <v>AGROPECUARIA NOVA GERACAO</v>
      </c>
      <c r="E7" s="14" t="str">
        <f>IF((INPUT!D2)="","-",(INPUT!D2))</f>
        <v>20923293000196</v>
      </c>
      <c r="F7" s="34"/>
      <c r="G7" s="63"/>
      <c r="H7" s="64"/>
      <c r="I7" s="77"/>
      <c r="J7" s="77"/>
      <c r="K7" s="78"/>
      <c r="L7" s="34"/>
      <c r="M7" s="150"/>
      <c r="N7" s="151"/>
      <c r="O7" s="94"/>
      <c r="P7" s="95"/>
      <c r="Q7" s="96"/>
      <c r="R7" s="34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</row>
    <row r="8" spans="1:32" ht="16.5" thickTop="1" thickBot="1" x14ac:dyDescent="0.3">
      <c r="A8" s="49"/>
      <c r="B8" s="35" t="s">
        <v>38</v>
      </c>
      <c r="C8" s="36" t="str">
        <f>IF((INPUT!E2)="","-",(INPUT!E2))</f>
        <v>4002</v>
      </c>
      <c r="D8" s="37" t="str">
        <f>IF((INPUT!F2)="","-",(INPUT!F2))</f>
        <v>PRIMAVERA DO LESTE</v>
      </c>
      <c r="E8" s="38" t="s">
        <v>20</v>
      </c>
      <c r="F8" s="34"/>
      <c r="G8" s="63" t="s">
        <v>46</v>
      </c>
      <c r="H8" s="64"/>
      <c r="I8" s="75" t="str">
        <f>IF((INPUT!AC2)="0.00","SEM BALANÇA",CONCATENATE((INPUT!AC2)," ","KG",))</f>
        <v>SEM BALANÇA</v>
      </c>
      <c r="J8" s="75"/>
      <c r="K8" s="76"/>
      <c r="L8" s="34"/>
      <c r="M8" s="85" t="s">
        <v>147</v>
      </c>
      <c r="N8" s="86"/>
      <c r="O8" s="86"/>
      <c r="P8" s="86"/>
      <c r="Q8" s="87"/>
      <c r="R8" s="34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</row>
    <row r="9" spans="1:32" ht="16.5" thickTop="1" thickBot="1" x14ac:dyDescent="0.3">
      <c r="A9" s="49"/>
      <c r="B9" s="43"/>
      <c r="C9" s="43"/>
      <c r="D9" s="43"/>
      <c r="E9" s="43"/>
      <c r="F9" s="34"/>
      <c r="G9" s="63"/>
      <c r="H9" s="64"/>
      <c r="I9" s="75"/>
      <c r="J9" s="75"/>
      <c r="K9" s="76"/>
      <c r="L9" s="34"/>
      <c r="M9" s="88"/>
      <c r="N9" s="89"/>
      <c r="O9" s="89"/>
      <c r="P9" s="89"/>
      <c r="Q9" s="90"/>
      <c r="R9" s="34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</row>
    <row r="10" spans="1:32" ht="18" customHeight="1" x14ac:dyDescent="0.25">
      <c r="A10" s="49"/>
      <c r="B10" s="21" t="s">
        <v>20</v>
      </c>
      <c r="C10" s="22" t="s">
        <v>16</v>
      </c>
      <c r="D10" s="22" t="s">
        <v>15</v>
      </c>
      <c r="E10" s="23" t="s">
        <v>19</v>
      </c>
      <c r="F10" s="34"/>
      <c r="G10" s="63" t="s">
        <v>43</v>
      </c>
      <c r="H10" s="64"/>
      <c r="I10" s="77" t="str">
        <f>CONCATENATE("R$"," ",INPUT!AD2)</f>
        <v>R$ 36000.00</v>
      </c>
      <c r="J10" s="77"/>
      <c r="K10" s="78"/>
      <c r="L10" s="34"/>
      <c r="M10" s="81" t="s">
        <v>83</v>
      </c>
      <c r="N10" s="82"/>
      <c r="O10" s="91" t="str">
        <f>IF(MDFEANT!B2="","OK",(IF(MDFEANT!E2="ENCERRADO","OK","VERIFICAR")))</f>
        <v>VERIFICAR</v>
      </c>
      <c r="P10" s="92"/>
      <c r="Q10" s="93"/>
      <c r="R10" s="34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</row>
    <row r="11" spans="1:32" ht="15.75" thickBot="1" x14ac:dyDescent="0.3">
      <c r="A11" s="49"/>
      <c r="B11" s="40" t="s">
        <v>23</v>
      </c>
      <c r="C11" s="6" t="str">
        <f>IF((INPUT!Z2)="","-",(INPUT!Z2))</f>
        <v>05078</v>
      </c>
      <c r="D11" s="3" t="str">
        <f>IF((INPUT!AA2)="","-",(INPUT!AA2))</f>
        <v>ERLAN DE FREITAS LACERDA</v>
      </c>
      <c r="E11" s="5" t="str">
        <f>IF((INPUT!AB2)="","-",(INPUT!AB2))</f>
        <v>35308656134</v>
      </c>
      <c r="F11" s="34"/>
      <c r="G11" s="65"/>
      <c r="H11" s="66"/>
      <c r="I11" s="79"/>
      <c r="J11" s="79"/>
      <c r="K11" s="80"/>
      <c r="L11" s="34"/>
      <c r="M11" s="83"/>
      <c r="N11" s="84"/>
      <c r="O11" s="94"/>
      <c r="P11" s="95"/>
      <c r="Q11" s="96"/>
      <c r="R11" s="34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</row>
    <row r="12" spans="1:32" ht="16.5" thickTop="1" thickBot="1" x14ac:dyDescent="0.3">
      <c r="A12" s="49"/>
      <c r="B12" s="40" t="s">
        <v>22</v>
      </c>
      <c r="C12" s="7" t="str">
        <f>IF((INPUT!U2)="","-",(INPUT!U2))</f>
        <v>05078</v>
      </c>
      <c r="D12" s="3" t="str">
        <f>IF((INPUT!V2)="","-",(INPUT!V2))</f>
        <v>ERLEAN DE FREITAS LACERDA</v>
      </c>
      <c r="E12" s="5" t="str">
        <f>IF((INPUT!I2)="","-",(INPUT!I2))</f>
        <v>35308656134</v>
      </c>
      <c r="F12" s="34"/>
      <c r="G12" s="44"/>
      <c r="H12" s="44"/>
      <c r="I12" s="44"/>
      <c r="J12" s="44"/>
      <c r="K12" s="44"/>
      <c r="L12" s="34"/>
      <c r="M12" s="34"/>
      <c r="N12" s="34"/>
      <c r="O12" s="34"/>
      <c r="P12" s="34"/>
      <c r="Q12" s="34"/>
      <c r="R12" s="34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</row>
    <row r="13" spans="1:32" ht="20.25" thickBot="1" x14ac:dyDescent="0.3">
      <c r="A13" s="49"/>
      <c r="B13" s="97" t="s">
        <v>28</v>
      </c>
      <c r="C13" s="20" t="s">
        <v>26</v>
      </c>
      <c r="D13" s="20" t="s">
        <v>27</v>
      </c>
      <c r="E13" s="15" t="s">
        <v>25</v>
      </c>
      <c r="F13" s="34"/>
      <c r="G13" s="118" t="s">
        <v>44</v>
      </c>
      <c r="H13" s="26" t="str">
        <f>IF(INPUT!AI2="","Gerar",(INPUT!AI2))</f>
        <v>032099</v>
      </c>
      <c r="I13" s="112" t="s">
        <v>49</v>
      </c>
      <c r="J13" s="113"/>
      <c r="K13" s="114"/>
      <c r="L13" s="34"/>
      <c r="M13" s="126" t="s">
        <v>151</v>
      </c>
      <c r="N13" s="127"/>
      <c r="O13" s="127"/>
      <c r="P13" s="127"/>
      <c r="Q13" s="128"/>
      <c r="R13" s="34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</row>
    <row r="14" spans="1:32" ht="20.25" thickBot="1" x14ac:dyDescent="0.3">
      <c r="A14" s="49"/>
      <c r="B14" s="98"/>
      <c r="C14" s="8" t="str">
        <f>IF((INPUT!H2)="","-",(INPUT!H2))</f>
        <v>NPD1331</v>
      </c>
      <c r="D14" s="4" t="str">
        <f>CONCATENATE(REBOQ!C2," - ",REBOQ!C3," - ",REBOQ!C4," - ",REBOQ!C5)</f>
        <v xml:space="preserve"> -  -  - </v>
      </c>
      <c r="E14" s="9" t="str">
        <f>IF((INPUT!X2)="","-",(INPUT!X2))</f>
        <v>01972129</v>
      </c>
      <c r="F14" s="34"/>
      <c r="G14" s="119"/>
      <c r="H14" s="53" t="str">
        <f>IF((INPUT!AJ2)="","",(INPUT!AJ2))</f>
        <v>CTERMT</v>
      </c>
      <c r="I14" s="115" t="s">
        <v>197</v>
      </c>
      <c r="J14" s="116"/>
      <c r="K14" s="117"/>
      <c r="L14" s="34"/>
      <c r="M14" s="129"/>
      <c r="N14" s="130"/>
      <c r="O14" s="130"/>
      <c r="P14" s="130"/>
      <c r="Q14" s="131"/>
      <c r="R14" s="34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</row>
    <row r="15" spans="1:32" ht="15.75" thickTop="1" x14ac:dyDescent="0.25">
      <c r="A15" s="49"/>
      <c r="B15" s="45"/>
      <c r="C15" s="34"/>
      <c r="D15" s="34"/>
      <c r="E15" s="34"/>
      <c r="F15" s="34"/>
      <c r="G15" s="105" t="s">
        <v>45</v>
      </c>
      <c r="H15" s="106"/>
      <c r="I15" s="120">
        <v>1250.8499999999999</v>
      </c>
      <c r="J15" s="121"/>
      <c r="K15" s="122"/>
      <c r="L15" s="52"/>
      <c r="M15" s="132" t="s">
        <v>83</v>
      </c>
      <c r="N15" s="133"/>
      <c r="O15" s="136" t="str">
        <f>IF(MDFE!B2="","Gerar",(MDFE!B2))</f>
        <v>00017899</v>
      </c>
      <c r="P15" s="137"/>
      <c r="Q15" s="138"/>
      <c r="R15" s="34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</row>
    <row r="16" spans="1:32" ht="24" thickBot="1" x14ac:dyDescent="0.3">
      <c r="A16" s="49"/>
      <c r="B16" s="30"/>
      <c r="C16" s="30"/>
      <c r="D16" s="30"/>
      <c r="E16" s="30"/>
      <c r="F16" s="34"/>
      <c r="G16" s="107"/>
      <c r="H16" s="108"/>
      <c r="I16" s="123"/>
      <c r="J16" s="124"/>
      <c r="K16" s="125"/>
      <c r="L16" s="34"/>
      <c r="M16" s="134"/>
      <c r="N16" s="135"/>
      <c r="O16" s="139"/>
      <c r="P16" s="140"/>
      <c r="Q16" s="141"/>
      <c r="R16" s="34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</row>
    <row r="17" spans="1:32" ht="15" customHeight="1" thickTop="1" thickBot="1" x14ac:dyDescent="0.3">
      <c r="A17" s="49"/>
      <c r="B17" s="30"/>
      <c r="C17" s="30"/>
      <c r="D17" s="30"/>
      <c r="E17" s="30"/>
      <c r="F17" s="46"/>
      <c r="G17" s="31"/>
      <c r="H17" s="31"/>
      <c r="I17" s="32"/>
      <c r="J17" s="32"/>
      <c r="K17" s="32"/>
      <c r="L17" s="46"/>
      <c r="M17" s="46"/>
      <c r="N17" s="34"/>
      <c r="O17" s="34"/>
      <c r="P17" s="34"/>
      <c r="Q17" s="34"/>
      <c r="R17" s="34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</row>
    <row r="18" spans="1:32" ht="18" customHeight="1" x14ac:dyDescent="0.25">
      <c r="A18" s="49"/>
      <c r="B18" s="99" t="s">
        <v>21</v>
      </c>
      <c r="C18" s="100"/>
      <c r="D18" s="109" t="s">
        <v>99</v>
      </c>
      <c r="E18" s="33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</row>
    <row r="19" spans="1:32" x14ac:dyDescent="0.25">
      <c r="A19" s="49"/>
      <c r="B19" s="101"/>
      <c r="C19" s="102"/>
      <c r="D19" s="110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</row>
    <row r="20" spans="1:32" ht="15" customHeight="1" x14ac:dyDescent="0.25">
      <c r="A20" s="49"/>
      <c r="B20" s="101"/>
      <c r="C20" s="102"/>
      <c r="D20" s="110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</row>
    <row r="21" spans="1:32" ht="15.75" customHeight="1" thickBot="1" x14ac:dyDescent="0.3">
      <c r="A21" s="49"/>
      <c r="B21" s="103"/>
      <c r="C21" s="104"/>
      <c r="D21" s="111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</row>
    <row r="22" spans="1:32" x14ac:dyDescent="0.25">
      <c r="A22" s="49"/>
      <c r="B22" s="34"/>
      <c r="C22" s="34"/>
      <c r="D22" s="50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</row>
    <row r="23" spans="1:32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</row>
    <row r="24" spans="1:32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</row>
    <row r="25" spans="1:32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</row>
    <row r="26" spans="1:32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</row>
    <row r="27" spans="1:32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</row>
    <row r="28" spans="1:32" x14ac:dyDescent="0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</row>
    <row r="29" spans="1:32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</row>
    <row r="30" spans="1:32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</row>
    <row r="31" spans="1:32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32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</row>
    <row r="33" spans="1:32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</row>
    <row r="34" spans="1:32" x14ac:dyDescent="0.25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</row>
    <row r="35" spans="1:32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</row>
    <row r="36" spans="1:32" x14ac:dyDescent="0.25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</row>
    <row r="37" spans="1:32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</row>
    <row r="38" spans="1:32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</row>
    <row r="39" spans="1:32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</row>
    <row r="40" spans="1:32" x14ac:dyDescent="0.2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</row>
    <row r="41" spans="1:32" x14ac:dyDescent="0.2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</row>
    <row r="42" spans="1:32" x14ac:dyDescent="0.25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</row>
    <row r="43" spans="1:32" x14ac:dyDescent="0.25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</row>
    <row r="44" spans="1:32" x14ac:dyDescent="0.25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</row>
    <row r="45" spans="1:32" x14ac:dyDescent="0.2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</row>
    <row r="46" spans="1:32" x14ac:dyDescent="0.25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</row>
    <row r="47" spans="1:32" x14ac:dyDescent="0.2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</row>
    <row r="48" spans="1:32" x14ac:dyDescent="0.2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</row>
    <row r="49" spans="1:32" x14ac:dyDescent="0.2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</row>
    <row r="50" spans="1:32" x14ac:dyDescent="0.2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</row>
    <row r="51" spans="1:32" x14ac:dyDescent="0.2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</row>
    <row r="52" spans="1:32" x14ac:dyDescent="0.2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</row>
    <row r="53" spans="1:32" x14ac:dyDescent="0.2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</row>
    <row r="54" spans="1:32" x14ac:dyDescent="0.2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</row>
    <row r="55" spans="1:32" x14ac:dyDescent="0.2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</row>
    <row r="56" spans="1:32" x14ac:dyDescent="0.2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</row>
    <row r="57" spans="1:32" x14ac:dyDescent="0.2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</row>
    <row r="58" spans="1:32" x14ac:dyDescent="0.2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</row>
    <row r="59" spans="1:32" x14ac:dyDescent="0.2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</row>
    <row r="60" spans="1:32" x14ac:dyDescent="0.2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</row>
    <row r="61" spans="1:32" x14ac:dyDescent="0.2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</row>
    <row r="62" spans="1:32" x14ac:dyDescent="0.2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</row>
  </sheetData>
  <protectedRanges>
    <protectedRange sqref="I15:K16" name="VALOR CTE"/>
    <protectedRange sqref="D18:D21" name="CHAVE NF"/>
    <protectedRange sqref="I14:K14" name="SERIE CTE"/>
  </protectedRanges>
  <mergeCells count="31">
    <mergeCell ref="M4:Q5"/>
    <mergeCell ref="M6:N7"/>
    <mergeCell ref="M2:N3"/>
    <mergeCell ref="O2:Q3"/>
    <mergeCell ref="O6:Q7"/>
    <mergeCell ref="M10:N11"/>
    <mergeCell ref="M8:Q9"/>
    <mergeCell ref="O10:Q11"/>
    <mergeCell ref="B13:B14"/>
    <mergeCell ref="B18:C21"/>
    <mergeCell ref="G15:H16"/>
    <mergeCell ref="D18:D21"/>
    <mergeCell ref="I13:K13"/>
    <mergeCell ref="I14:K14"/>
    <mergeCell ref="G13:G14"/>
    <mergeCell ref="I15:K16"/>
    <mergeCell ref="M13:Q14"/>
    <mergeCell ref="M15:N16"/>
    <mergeCell ref="O15:Q16"/>
    <mergeCell ref="G2:H3"/>
    <mergeCell ref="I2:K3"/>
    <mergeCell ref="G10:H11"/>
    <mergeCell ref="B2:B3"/>
    <mergeCell ref="C2:D3"/>
    <mergeCell ref="G4:H5"/>
    <mergeCell ref="G6:H7"/>
    <mergeCell ref="G8:H9"/>
    <mergeCell ref="I4:K5"/>
    <mergeCell ref="I6:K7"/>
    <mergeCell ref="I8:K9"/>
    <mergeCell ref="I10:K11"/>
  </mergeCells>
  <phoneticPr fontId="2" type="noConversion"/>
  <conditionalFormatting sqref="H13:H14">
    <cfRule type="cellIs" dxfId="17" priority="6" operator="equal">
      <formula>"Gerar"</formula>
    </cfRule>
  </conditionalFormatting>
  <conditionalFormatting sqref="C2:D3">
    <cfRule type="cellIs" dxfId="16" priority="5" operator="equal">
      <formula>"NOTA FISCAL NÃO ENCONTRADA"</formula>
    </cfRule>
  </conditionalFormatting>
  <conditionalFormatting sqref="O6">
    <cfRule type="cellIs" dxfId="15" priority="3" operator="notEqual">
      <formula>"OK"</formula>
    </cfRule>
    <cfRule type="cellIs" dxfId="14" priority="4" operator="equal">
      <formula>"OK"</formula>
    </cfRule>
  </conditionalFormatting>
  <conditionalFormatting sqref="O10">
    <cfRule type="cellIs" dxfId="13" priority="1" operator="notEqual">
      <formula>"OK"</formula>
    </cfRule>
    <cfRule type="cellIs" dxfId="12" priority="2" operator="equal">
      <formula>"OK"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81996-E32E-447F-A679-F37B7AA49CAD}">
  <sheetPr codeName="Planilha1"/>
  <dimension ref="A1:AV6"/>
  <sheetViews>
    <sheetView topLeftCell="V1" zoomScaleNormal="100" workbookViewId="0">
      <selection activeCell="AJ2" sqref="AJ2"/>
    </sheetView>
  </sheetViews>
  <sheetFormatPr defaultRowHeight="15" x14ac:dyDescent="0.25"/>
  <cols>
    <col min="1" max="1" width="7" bestFit="1" customWidth="1"/>
    <col min="2" max="2" width="9.7109375" bestFit="1" customWidth="1"/>
    <col min="3" max="3" width="30.5703125" bestFit="1" customWidth="1"/>
    <col min="4" max="4" width="15.140625" bestFit="1" customWidth="1"/>
    <col min="5" max="5" width="8.7109375" bestFit="1" customWidth="1"/>
    <col min="6" max="6" width="20.28515625" bestFit="1" customWidth="1"/>
    <col min="7" max="7" width="8.7109375" bestFit="1" customWidth="1"/>
    <col min="8" max="8" width="9.140625" bestFit="1" customWidth="1"/>
    <col min="9" max="9" width="15.5703125" bestFit="1" customWidth="1"/>
    <col min="10" max="10" width="7.7109375" bestFit="1" customWidth="1"/>
    <col min="11" max="11" width="21.42578125" bestFit="1" customWidth="1"/>
    <col min="12" max="12" width="4" bestFit="1" customWidth="1"/>
    <col min="13" max="13" width="7.5703125" bestFit="1" customWidth="1"/>
    <col min="14" max="14" width="25" bestFit="1" customWidth="1"/>
    <col min="15" max="15" width="7" bestFit="1" customWidth="1"/>
    <col min="16" max="16" width="8.5703125" bestFit="1" customWidth="1"/>
    <col min="17" max="17" width="15.140625" bestFit="1" customWidth="1"/>
    <col min="18" max="18" width="39.7109375" bestFit="1" customWidth="1"/>
    <col min="19" max="19" width="8.5703125" bestFit="1" customWidth="1"/>
    <col min="20" max="20" width="5.7109375" bestFit="1" customWidth="1"/>
    <col min="21" max="21" width="11" bestFit="1" customWidth="1"/>
    <col min="22" max="22" width="29" bestFit="1" customWidth="1"/>
    <col min="23" max="23" width="22.140625" bestFit="1" customWidth="1"/>
    <col min="24" max="24" width="9" bestFit="1" customWidth="1"/>
    <col min="25" max="25" width="9.42578125" bestFit="1" customWidth="1"/>
    <col min="26" max="26" width="12.42578125" bestFit="1" customWidth="1"/>
    <col min="27" max="27" width="29" bestFit="1" customWidth="1"/>
    <col min="28" max="28" width="17.28515625" bestFit="1" customWidth="1"/>
    <col min="29" max="29" width="12.140625" bestFit="1" customWidth="1"/>
    <col min="30" max="30" width="14.7109375" bestFit="1" customWidth="1"/>
    <col min="31" max="31" width="10" bestFit="1" customWidth="1"/>
    <col min="32" max="32" width="10.5703125" bestFit="1" customWidth="1"/>
    <col min="33" max="33" width="11" bestFit="1" customWidth="1"/>
    <col min="34" max="34" width="10.42578125" bestFit="1" customWidth="1"/>
    <col min="35" max="35" width="7" bestFit="1" customWidth="1"/>
    <col min="36" max="36" width="8" bestFit="1" customWidth="1"/>
    <col min="38" max="38" width="11.7109375" bestFit="1" customWidth="1"/>
    <col min="39" max="39" width="11.28515625" bestFit="1" customWidth="1"/>
    <col min="40" max="40" width="16.28515625" bestFit="1" customWidth="1"/>
    <col min="41" max="41" width="55" bestFit="1" customWidth="1"/>
    <col min="42" max="42" width="17.85546875" bestFit="1" customWidth="1"/>
    <col min="43" max="43" width="18.140625" bestFit="1" customWidth="1"/>
    <col min="44" max="44" width="37.7109375" bestFit="1" customWidth="1"/>
    <col min="45" max="45" width="14.42578125" bestFit="1" customWidth="1"/>
    <col min="46" max="46" width="40" bestFit="1" customWidth="1"/>
    <col min="47" max="47" width="34.28515625" bestFit="1" customWidth="1"/>
    <col min="48" max="48" width="9.85546875" bestFit="1" customWidth="1"/>
  </cols>
  <sheetData>
    <row r="1" spans="1:48" ht="15.75" thickBot="1" x14ac:dyDescent="0.3">
      <c r="A1" s="1" t="s">
        <v>69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70</v>
      </c>
      <c r="H1" s="1" t="s">
        <v>0</v>
      </c>
      <c r="I1" s="1" t="s">
        <v>41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39</v>
      </c>
      <c r="O1" s="1" t="s">
        <v>71</v>
      </c>
      <c r="P1" s="1" t="s">
        <v>17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40</v>
      </c>
      <c r="V1" s="1" t="s">
        <v>22</v>
      </c>
      <c r="W1" s="1" t="s">
        <v>24</v>
      </c>
      <c r="X1" s="1" t="s">
        <v>25</v>
      </c>
      <c r="Y1" s="1" t="s">
        <v>32</v>
      </c>
      <c r="Z1" s="1" t="s">
        <v>33</v>
      </c>
      <c r="AA1" s="1" t="s">
        <v>34</v>
      </c>
      <c r="AB1" s="1" t="s">
        <v>36</v>
      </c>
      <c r="AC1" s="1" t="s">
        <v>48</v>
      </c>
      <c r="AD1" s="19" t="s">
        <v>72</v>
      </c>
      <c r="AE1" s="19" t="s">
        <v>73</v>
      </c>
      <c r="AF1" s="19" t="s">
        <v>74</v>
      </c>
      <c r="AG1" s="19" t="s">
        <v>75</v>
      </c>
      <c r="AH1" s="19" t="s">
        <v>76</v>
      </c>
      <c r="AI1" s="19" t="s">
        <v>44</v>
      </c>
      <c r="AJ1" s="19" t="s">
        <v>49</v>
      </c>
      <c r="AK1" s="19" t="s">
        <v>77</v>
      </c>
      <c r="AL1" s="19" t="s">
        <v>78</v>
      </c>
      <c r="AM1" s="19" t="s">
        <v>79</v>
      </c>
      <c r="AN1" s="19" t="s">
        <v>80</v>
      </c>
      <c r="AO1" s="19" t="s">
        <v>51</v>
      </c>
      <c r="AP1" s="19" t="s">
        <v>52</v>
      </c>
      <c r="AQ1" s="19" t="s">
        <v>53</v>
      </c>
      <c r="AR1" s="19" t="s">
        <v>54</v>
      </c>
      <c r="AS1" s="19" t="s">
        <v>55</v>
      </c>
      <c r="AT1" s="19" t="s">
        <v>56</v>
      </c>
      <c r="AU1" s="19" t="s">
        <v>57</v>
      </c>
      <c r="AV1" s="19" t="s">
        <v>58</v>
      </c>
    </row>
    <row r="2" spans="1:48" ht="15.75" thickTop="1" x14ac:dyDescent="0.25">
      <c r="A2" t="s">
        <v>100</v>
      </c>
      <c r="B2" t="s">
        <v>101</v>
      </c>
      <c r="C2" t="s">
        <v>102</v>
      </c>
      <c r="D2" t="s">
        <v>103</v>
      </c>
      <c r="E2" t="s">
        <v>35</v>
      </c>
      <c r="F2" t="s">
        <v>67</v>
      </c>
      <c r="G2" t="s">
        <v>68</v>
      </c>
      <c r="H2" t="s">
        <v>104</v>
      </c>
      <c r="I2" t="s">
        <v>105</v>
      </c>
      <c r="J2" t="s">
        <v>106</v>
      </c>
      <c r="K2" t="s">
        <v>107</v>
      </c>
      <c r="L2" t="s">
        <v>108</v>
      </c>
      <c r="M2" t="s">
        <v>109</v>
      </c>
      <c r="N2" t="s">
        <v>110</v>
      </c>
      <c r="O2" t="s">
        <v>68</v>
      </c>
      <c r="P2" t="s">
        <v>111</v>
      </c>
      <c r="Q2" t="s">
        <v>112</v>
      </c>
      <c r="R2" t="s">
        <v>113</v>
      </c>
      <c r="S2" t="s">
        <v>139</v>
      </c>
      <c r="T2" t="s">
        <v>114</v>
      </c>
      <c r="U2" t="s">
        <v>115</v>
      </c>
      <c r="V2" t="s">
        <v>116</v>
      </c>
      <c r="W2" t="s">
        <v>117</v>
      </c>
      <c r="X2" t="s">
        <v>118</v>
      </c>
      <c r="Y2" t="s">
        <v>119</v>
      </c>
      <c r="Z2" t="s">
        <v>115</v>
      </c>
      <c r="AA2" t="s">
        <v>120</v>
      </c>
      <c r="AB2" t="s">
        <v>105</v>
      </c>
      <c r="AC2" s="17" t="s">
        <v>98</v>
      </c>
      <c r="AD2" s="18" t="s">
        <v>81</v>
      </c>
      <c r="AE2">
        <v>26</v>
      </c>
      <c r="AF2">
        <v>7</v>
      </c>
      <c r="AG2">
        <v>2021</v>
      </c>
      <c r="AH2" t="s">
        <v>121</v>
      </c>
      <c r="AI2" t="s">
        <v>122</v>
      </c>
      <c r="AJ2" t="s">
        <v>50</v>
      </c>
      <c r="AK2">
        <v>3</v>
      </c>
      <c r="AL2" t="s">
        <v>59</v>
      </c>
      <c r="AM2" t="s">
        <v>60</v>
      </c>
      <c r="AN2" t="s">
        <v>59</v>
      </c>
      <c r="AO2" t="s">
        <v>123</v>
      </c>
      <c r="AP2" t="s">
        <v>124</v>
      </c>
      <c r="AQ2" t="s">
        <v>125</v>
      </c>
      <c r="AR2" t="s">
        <v>126</v>
      </c>
      <c r="AS2" t="s">
        <v>127</v>
      </c>
      <c r="AT2" t="s">
        <v>128</v>
      </c>
      <c r="AU2" t="s">
        <v>129</v>
      </c>
      <c r="AV2" t="s">
        <v>61</v>
      </c>
    </row>
    <row r="6" spans="1:48" x14ac:dyDescent="0.25">
      <c r="P6" s="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9187D-B889-4619-8FC7-463063794A83}">
  <sheetPr codeName="Planilha2"/>
  <dimension ref="A1:C2"/>
  <sheetViews>
    <sheetView workbookViewId="0">
      <selection activeCell="B2" sqref="B2"/>
    </sheetView>
  </sheetViews>
  <sheetFormatPr defaultRowHeight="15" x14ac:dyDescent="0.25"/>
  <cols>
    <col min="1" max="1" width="9.42578125" customWidth="1"/>
    <col min="2" max="2" width="11.42578125" customWidth="1"/>
    <col min="3" max="3" width="10.5703125" bestFit="1" customWidth="1"/>
  </cols>
  <sheetData>
    <row r="1" spans="1:3" ht="15.75" thickBot="1" x14ac:dyDescent="0.3">
      <c r="A1" s="19" t="s">
        <v>29</v>
      </c>
      <c r="B1" s="19" t="s">
        <v>30</v>
      </c>
      <c r="C1" s="19" t="s">
        <v>31</v>
      </c>
    </row>
    <row r="2" spans="1:3" ht="15.75" thickTop="1" x14ac:dyDescent="0.25"/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912C-AEA3-4F34-8590-232A8DD6DBB8}">
  <sheetPr codeName="Planilha5"/>
  <dimension ref="A1:BB18"/>
  <sheetViews>
    <sheetView tabSelected="1" topLeftCell="F1" workbookViewId="0">
      <selection activeCell="B2" sqref="B2"/>
    </sheetView>
  </sheetViews>
  <sheetFormatPr defaultRowHeight="15" x14ac:dyDescent="0.25"/>
  <cols>
    <col min="6" max="6" width="15" bestFit="1" customWidth="1"/>
    <col min="11" max="11" width="46.28515625" bestFit="1" customWidth="1"/>
    <col min="13" max="13" width="7.5703125" bestFit="1" customWidth="1"/>
    <col min="14" max="14" width="10.7109375" bestFit="1" customWidth="1"/>
    <col min="20" max="20" width="14.28515625" bestFit="1" customWidth="1"/>
    <col min="22" max="22" width="12.5703125" bestFit="1" customWidth="1"/>
    <col min="28" max="28" width="10.7109375" bestFit="1" customWidth="1"/>
    <col min="32" max="34" width="16.28515625" bestFit="1" customWidth="1"/>
    <col min="37" max="37" width="10.7109375" bestFit="1" customWidth="1"/>
    <col min="47" max="47" width="10.7109375" bestFit="1" customWidth="1"/>
  </cols>
  <sheetData>
    <row r="1" spans="1:54" ht="15.75" thickBot="1" x14ac:dyDescent="0.3">
      <c r="A1" s="19" t="s">
        <v>153</v>
      </c>
      <c r="B1" s="19" t="s">
        <v>154</v>
      </c>
      <c r="C1" s="19" t="s">
        <v>49</v>
      </c>
      <c r="D1" s="19" t="s">
        <v>155</v>
      </c>
      <c r="E1" s="19" t="s">
        <v>156</v>
      </c>
      <c r="F1" s="19" t="s">
        <v>157</v>
      </c>
      <c r="G1" s="19" t="s">
        <v>158</v>
      </c>
      <c r="H1" s="19" t="s">
        <v>159</v>
      </c>
      <c r="I1" s="19" t="s">
        <v>160</v>
      </c>
      <c r="J1" s="19" t="s">
        <v>161</v>
      </c>
      <c r="K1" s="19" t="s">
        <v>162</v>
      </c>
      <c r="L1" s="19" t="s">
        <v>163</v>
      </c>
      <c r="M1" s="19" t="s">
        <v>83</v>
      </c>
      <c r="N1" s="19" t="s">
        <v>164</v>
      </c>
      <c r="O1" s="19" t="s">
        <v>165</v>
      </c>
      <c r="P1" s="19" t="s">
        <v>166</v>
      </c>
      <c r="Q1" s="19" t="s">
        <v>167</v>
      </c>
      <c r="R1" s="19" t="s">
        <v>22</v>
      </c>
      <c r="S1" s="19" t="s">
        <v>168</v>
      </c>
      <c r="T1" s="19" t="s">
        <v>169</v>
      </c>
      <c r="U1" s="19" t="s">
        <v>170</v>
      </c>
      <c r="V1" s="19" t="s">
        <v>171</v>
      </c>
      <c r="W1" s="19" t="s">
        <v>172</v>
      </c>
      <c r="X1" s="19" t="s">
        <v>173</v>
      </c>
      <c r="Y1" s="19" t="s">
        <v>174</v>
      </c>
      <c r="Z1" s="19" t="s">
        <v>175</v>
      </c>
      <c r="AA1" s="19" t="s">
        <v>176</v>
      </c>
      <c r="AB1" s="19" t="s">
        <v>177</v>
      </c>
      <c r="AC1" s="19" t="s">
        <v>178</v>
      </c>
      <c r="AD1" s="19" t="s">
        <v>179</v>
      </c>
      <c r="AE1" s="19" t="s">
        <v>180</v>
      </c>
      <c r="AF1" s="19" t="s">
        <v>181</v>
      </c>
      <c r="AG1" s="19" t="s">
        <v>182</v>
      </c>
      <c r="AH1" s="19" t="s">
        <v>183</v>
      </c>
      <c r="AI1" s="19" t="s">
        <v>184</v>
      </c>
      <c r="AJ1" s="19" t="s">
        <v>185</v>
      </c>
      <c r="AK1" s="19" t="s">
        <v>153</v>
      </c>
      <c r="AL1" s="19" t="s">
        <v>186</v>
      </c>
      <c r="AM1" s="19" t="s">
        <v>187</v>
      </c>
      <c r="AN1" s="19" t="s">
        <v>188</v>
      </c>
      <c r="AO1" s="19" t="s">
        <v>189</v>
      </c>
      <c r="AP1" s="19" t="s">
        <v>154</v>
      </c>
      <c r="AQ1" s="19" t="s">
        <v>190</v>
      </c>
      <c r="AR1" s="19" t="s">
        <v>191</v>
      </c>
      <c r="AS1" s="19" t="s">
        <v>192</v>
      </c>
      <c r="AT1" s="19" t="s">
        <v>193</v>
      </c>
      <c r="AU1" s="19" t="s">
        <v>153</v>
      </c>
      <c r="AV1" s="19" t="s">
        <v>194</v>
      </c>
      <c r="AW1" s="19" t="s">
        <v>195</v>
      </c>
      <c r="AX1" s="19" t="s">
        <v>196</v>
      </c>
      <c r="AY1" s="19" t="s">
        <v>161</v>
      </c>
      <c r="AZ1" s="19" t="s">
        <v>154</v>
      </c>
      <c r="BA1" s="19" t="s">
        <v>190</v>
      </c>
      <c r="BB1" s="19" t="s">
        <v>193</v>
      </c>
    </row>
    <row r="2" spans="1:54" ht="15.75" thickTop="1" x14ac:dyDescent="0.25">
      <c r="A2">
        <v>29892</v>
      </c>
      <c r="B2" t="s">
        <v>130</v>
      </c>
      <c r="C2" t="s">
        <v>86</v>
      </c>
      <c r="D2">
        <v>17888</v>
      </c>
      <c r="E2" t="s">
        <v>87</v>
      </c>
      <c r="F2" s="39">
        <v>44403</v>
      </c>
      <c r="G2" s="39" t="s">
        <v>88</v>
      </c>
      <c r="H2" s="39" t="s">
        <v>89</v>
      </c>
      <c r="I2" s="39" t="s">
        <v>90</v>
      </c>
      <c r="J2" s="39" t="s">
        <v>131</v>
      </c>
      <c r="K2" s="39" t="s">
        <v>132</v>
      </c>
      <c r="L2" s="39" t="s">
        <v>133</v>
      </c>
      <c r="M2" s="39" t="s">
        <v>91</v>
      </c>
      <c r="N2" s="39">
        <v>1</v>
      </c>
      <c r="O2" s="39" t="s">
        <v>68</v>
      </c>
      <c r="P2" s="39" t="s">
        <v>68</v>
      </c>
      <c r="Q2" s="39" t="s">
        <v>134</v>
      </c>
      <c r="R2" s="39" t="s">
        <v>131</v>
      </c>
      <c r="S2" s="39" t="s">
        <v>92</v>
      </c>
      <c r="T2" s="39">
        <v>36000</v>
      </c>
      <c r="U2" s="39" t="s">
        <v>93</v>
      </c>
      <c r="V2" s="39">
        <v>12</v>
      </c>
      <c r="W2" s="39" t="s">
        <v>90</v>
      </c>
      <c r="X2" s="39" t="s">
        <v>90</v>
      </c>
      <c r="Y2" s="39" t="s">
        <v>95</v>
      </c>
      <c r="Z2" s="39" t="s">
        <v>94</v>
      </c>
      <c r="AA2" s="39" t="s">
        <v>87</v>
      </c>
      <c r="AB2" s="39">
        <v>10</v>
      </c>
      <c r="AC2" s="39" t="s">
        <v>87</v>
      </c>
      <c r="AD2" s="39" t="s">
        <v>87</v>
      </c>
      <c r="AE2" s="39" t="s">
        <v>87</v>
      </c>
      <c r="AF2" s="39">
        <v>0</v>
      </c>
      <c r="AG2" s="39">
        <v>0</v>
      </c>
      <c r="AH2" s="39">
        <v>0</v>
      </c>
      <c r="AI2" s="39" t="s">
        <v>94</v>
      </c>
      <c r="AJ2" s="39" t="s">
        <v>135</v>
      </c>
      <c r="AK2" s="39">
        <v>13923</v>
      </c>
      <c r="AL2" s="39" t="s">
        <v>136</v>
      </c>
      <c r="AM2" s="39" t="s">
        <v>87</v>
      </c>
      <c r="AN2" s="39" t="s">
        <v>96</v>
      </c>
      <c r="AO2" s="39" t="s">
        <v>87</v>
      </c>
      <c r="AP2" s="39" t="s">
        <v>130</v>
      </c>
      <c r="AQ2" s="39" t="s">
        <v>86</v>
      </c>
      <c r="AR2" s="39" t="s">
        <v>91</v>
      </c>
      <c r="AS2" s="39" t="s">
        <v>99</v>
      </c>
      <c r="AT2" s="39" t="s">
        <v>87</v>
      </c>
      <c r="AU2" s="39">
        <v>30006</v>
      </c>
      <c r="AV2" s="39" t="s">
        <v>137</v>
      </c>
      <c r="AW2" s="39" t="s">
        <v>138</v>
      </c>
      <c r="AX2" s="39" t="s">
        <v>50</v>
      </c>
      <c r="AY2" s="39" t="s">
        <v>131</v>
      </c>
      <c r="AZ2" s="39" t="s">
        <v>130</v>
      </c>
      <c r="BA2" s="39" t="s">
        <v>86</v>
      </c>
      <c r="BB2" s="39" t="s">
        <v>97</v>
      </c>
    </row>
    <row r="18" spans="26:26" x14ac:dyDescent="0.25">
      <c r="Z18" s="2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9AE4D-8494-4813-88DA-C02DE538A42A}">
  <sheetPr codeName="Planilha6"/>
  <dimension ref="A1:I9"/>
  <sheetViews>
    <sheetView workbookViewId="0">
      <selection activeCell="E15" sqref="E15"/>
    </sheetView>
  </sheetViews>
  <sheetFormatPr defaultRowHeight="15" x14ac:dyDescent="0.25"/>
  <cols>
    <col min="1" max="1" width="6.85546875" bestFit="1" customWidth="1"/>
    <col min="2" max="2" width="9" bestFit="1" customWidth="1"/>
    <col min="3" max="3" width="10.7109375" bestFit="1" customWidth="1"/>
    <col min="4" max="4" width="9.42578125" bestFit="1" customWidth="1"/>
    <col min="5" max="6" width="16.5703125" bestFit="1" customWidth="1"/>
    <col min="7" max="7" width="7.28515625" bestFit="1" customWidth="1"/>
    <col min="8" max="8" width="50.7109375" bestFit="1" customWidth="1"/>
    <col min="9" max="9" width="8.85546875" bestFit="1" customWidth="1"/>
  </cols>
  <sheetData>
    <row r="1" spans="1:9" ht="15.75" thickBot="1" x14ac:dyDescent="0.3">
      <c r="A1" s="19" t="s">
        <v>49</v>
      </c>
      <c r="B1" s="19" t="s">
        <v>144</v>
      </c>
      <c r="C1" s="19" t="s">
        <v>145</v>
      </c>
      <c r="D1" s="19" t="s">
        <v>146</v>
      </c>
      <c r="E1" s="19" t="s">
        <v>147</v>
      </c>
      <c r="F1" s="19" t="s">
        <v>148</v>
      </c>
      <c r="G1" s="19" t="s">
        <v>22</v>
      </c>
      <c r="H1" s="19" t="s">
        <v>15</v>
      </c>
      <c r="I1" s="19" t="s">
        <v>0</v>
      </c>
    </row>
    <row r="2" spans="1:9" ht="15.75" thickTop="1" x14ac:dyDescent="0.25">
      <c r="A2" t="s">
        <v>86</v>
      </c>
      <c r="B2" t="s">
        <v>198</v>
      </c>
      <c r="C2" t="s">
        <v>199</v>
      </c>
      <c r="D2" t="s">
        <v>141</v>
      </c>
      <c r="E2" t="s">
        <v>150</v>
      </c>
      <c r="F2" t="s">
        <v>142</v>
      </c>
      <c r="G2" t="s">
        <v>131</v>
      </c>
      <c r="H2" t="s">
        <v>143</v>
      </c>
      <c r="I2" t="s">
        <v>104</v>
      </c>
    </row>
    <row r="9" spans="1:9" x14ac:dyDescent="0.25">
      <c r="E9" s="39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1CAA2-08DA-4191-9722-F746960BA811}">
  <sheetPr codeName="Planilha4"/>
  <dimension ref="A1:B40"/>
  <sheetViews>
    <sheetView zoomScale="70" zoomScaleNormal="70" workbookViewId="0">
      <selection activeCell="A4" sqref="A4"/>
    </sheetView>
  </sheetViews>
  <sheetFormatPr defaultRowHeight="15" x14ac:dyDescent="0.25"/>
  <cols>
    <col min="1" max="1" width="38.42578125" style="27" customWidth="1"/>
    <col min="2" max="2" width="54.85546875" style="27" bestFit="1" customWidth="1"/>
    <col min="3" max="3" width="17" style="27" customWidth="1"/>
    <col min="4" max="4" width="75" style="27" customWidth="1"/>
    <col min="5" max="5" width="9.7109375" style="27" bestFit="1" customWidth="1"/>
    <col min="6" max="16384" width="9.140625" style="27"/>
  </cols>
  <sheetData>
    <row r="1" spans="1:2" x14ac:dyDescent="0.25">
      <c r="A1" s="27" t="s">
        <v>63</v>
      </c>
      <c r="B1" s="27" t="s">
        <v>64</v>
      </c>
    </row>
    <row r="2" spans="1:2" ht="47.25" customHeight="1" x14ac:dyDescent="0.25">
      <c r="A2" s="27" t="s">
        <v>200</v>
      </c>
      <c r="B2" s="41" t="s">
        <v>65</v>
      </c>
    </row>
    <row r="3" spans="1:2" ht="45.75" customHeight="1" x14ac:dyDescent="0.25">
      <c r="A3" s="27" t="s">
        <v>152</v>
      </c>
      <c r="B3" s="41" t="s">
        <v>66</v>
      </c>
    </row>
    <row r="4" spans="1:2" ht="160.5" customHeight="1" x14ac:dyDescent="0.25">
      <c r="A4" s="27" t="s">
        <v>85</v>
      </c>
      <c r="B4" s="41" t="s">
        <v>84</v>
      </c>
    </row>
    <row r="5" spans="1:2" ht="48" customHeight="1" x14ac:dyDescent="0.25">
      <c r="A5" s="27" t="s">
        <v>201</v>
      </c>
      <c r="B5" s="41" t="s">
        <v>82</v>
      </c>
    </row>
    <row r="6" spans="1:2" ht="40.5" customHeight="1" x14ac:dyDescent="0.25">
      <c r="A6" s="27" t="s">
        <v>149</v>
      </c>
      <c r="B6" s="41" t="s">
        <v>140</v>
      </c>
    </row>
    <row r="7" spans="1:2" x14ac:dyDescent="0.25">
      <c r="B7" s="28"/>
    </row>
    <row r="8" spans="1:2" x14ac:dyDescent="0.25">
      <c r="B8" s="28"/>
    </row>
    <row r="9" spans="1:2" x14ac:dyDescent="0.25">
      <c r="B9" s="28"/>
    </row>
    <row r="10" spans="1:2" x14ac:dyDescent="0.25">
      <c r="B10" s="28"/>
    </row>
    <row r="11" spans="1:2" x14ac:dyDescent="0.25">
      <c r="B11" s="28"/>
    </row>
    <row r="12" spans="1:2" x14ac:dyDescent="0.25">
      <c r="B12" s="28"/>
    </row>
    <row r="13" spans="1:2" x14ac:dyDescent="0.25">
      <c r="B13" s="28"/>
    </row>
    <row r="14" spans="1:2" x14ac:dyDescent="0.25">
      <c r="B14" s="28"/>
    </row>
    <row r="15" spans="1:2" x14ac:dyDescent="0.25">
      <c r="B15" s="28"/>
    </row>
    <row r="16" spans="1:2" x14ac:dyDescent="0.25">
      <c r="B16" s="28"/>
    </row>
    <row r="17" spans="2:2" x14ac:dyDescent="0.25">
      <c r="B17" s="28"/>
    </row>
    <row r="18" spans="2:2" x14ac:dyDescent="0.25">
      <c r="B18" s="28"/>
    </row>
    <row r="19" spans="2:2" x14ac:dyDescent="0.25">
      <c r="B19" s="28"/>
    </row>
    <row r="20" spans="2:2" x14ac:dyDescent="0.25">
      <c r="B20" s="28"/>
    </row>
    <row r="21" spans="2:2" x14ac:dyDescent="0.25">
      <c r="B21" s="28"/>
    </row>
    <row r="22" spans="2:2" x14ac:dyDescent="0.25">
      <c r="B22" s="28"/>
    </row>
    <row r="23" spans="2:2" x14ac:dyDescent="0.25">
      <c r="B23" s="28"/>
    </row>
    <row r="24" spans="2:2" x14ac:dyDescent="0.25">
      <c r="B24" s="28"/>
    </row>
    <row r="25" spans="2:2" x14ac:dyDescent="0.25">
      <c r="B25" s="28"/>
    </row>
    <row r="26" spans="2:2" x14ac:dyDescent="0.25">
      <c r="B26" s="28"/>
    </row>
    <row r="27" spans="2:2" x14ac:dyDescent="0.25">
      <c r="B27" s="28"/>
    </row>
    <row r="28" spans="2:2" x14ac:dyDescent="0.25">
      <c r="B28" s="28"/>
    </row>
    <row r="29" spans="2:2" x14ac:dyDescent="0.25">
      <c r="B29" s="28"/>
    </row>
    <row r="30" spans="2:2" x14ac:dyDescent="0.25">
      <c r="B30" s="28"/>
    </row>
    <row r="31" spans="2:2" x14ac:dyDescent="0.25">
      <c r="B31" s="28"/>
    </row>
    <row r="32" spans="2:2" x14ac:dyDescent="0.25">
      <c r="B32" s="28"/>
    </row>
    <row r="33" spans="2:2" x14ac:dyDescent="0.25">
      <c r="B33" s="28"/>
    </row>
    <row r="34" spans="2:2" x14ac:dyDescent="0.25">
      <c r="B34" s="28"/>
    </row>
    <row r="35" spans="2:2" x14ac:dyDescent="0.25">
      <c r="B35" s="28"/>
    </row>
    <row r="36" spans="2:2" x14ac:dyDescent="0.25">
      <c r="B36" s="28"/>
    </row>
    <row r="37" spans="2:2" x14ac:dyDescent="0.25">
      <c r="B37" s="28"/>
    </row>
    <row r="38" spans="2:2" x14ac:dyDescent="0.25">
      <c r="B38" s="28"/>
    </row>
    <row r="39" spans="2:2" x14ac:dyDescent="0.25">
      <c r="B39" s="28"/>
    </row>
    <row r="40" spans="2:2" x14ac:dyDescent="0.25">
      <c r="B40" s="2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6512B2-3D45-46C8-A37E-1CF437374D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DADOSNF</vt:lpstr>
      <vt:lpstr>INPUT</vt:lpstr>
      <vt:lpstr>REBOQ</vt:lpstr>
      <vt:lpstr>MDFE</vt:lpstr>
      <vt:lpstr>MDFEANT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 Transportes;Patrick Rossatto</dc:creator>
  <cp:lastModifiedBy>Jimerson Carlos</cp:lastModifiedBy>
  <dcterms:created xsi:type="dcterms:W3CDTF">2015-06-05T18:19:34Z</dcterms:created>
  <dcterms:modified xsi:type="dcterms:W3CDTF">2021-08-10T22:44:01Z</dcterms:modified>
</cp:coreProperties>
</file>